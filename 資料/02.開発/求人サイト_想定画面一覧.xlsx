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5fe411661f45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サマリー" sheetId="1" r:id="R1f066634787245c8"/>
    <x:sheet xmlns:r="http://schemas.openxmlformats.org/officeDocument/2006/relationships" name="画面一覧" sheetId="2" r:id="R60721564cec84180"/>
    <x:sheet xmlns:r="http://schemas.openxmlformats.org/officeDocument/2006/relationships" name="画面機能対応" sheetId="3" r:id="R29c2e99223c24cbb"/>
    <x:sheet xmlns:r="http://schemas.openxmlformats.org/officeDocument/2006/relationships" name="主要画面遷移" sheetId="4" r:id="R63ab89449ebd4b2b"/>
    <x:sheet xmlns:r="http://schemas.openxmlformats.org/officeDocument/2006/relationships" name="機能参照" sheetId="5" r:id="Re51c984f1cf5440b"/>
    <x:sheet xmlns:r="http://schemas.openxmlformats.org/officeDocument/2006/relationships" name="選択肢" sheetId="6" r:id="R5fc8edfc50c54c72"/>
    <x:sheet xmlns:r="http://schemas.openxmlformats.org/officeDocument/2006/relationships" name="ルーティング一覧" sheetId="7" r:id="Rf3531556a21847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  <x:font>
      <x:sz val="9"/>
      <x:name val="Carlito"/>
    </x:font>
    <x:font>
      <x:sz val="10"/>
      <x:color rgb="FF44546A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AF5FB"/>
      </x:patternFill>
    </x:fill>
  </x:fills>
  <x:borders count="13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9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2" xfId="0" applyNumberFormat="1" applyFont="1" applyFill="1" applyBorder="1"/>
    <x:xf numFmtId="0" fontId="6" fillId="7" borderId="3" xfId="0" applyNumberFormat="1" applyFont="1" applyFill="1" applyBorder="1"/>
    <x:xf numFmtId="0" fontId="6" fillId="7" borderId="4" xfId="0" applyNumberFormat="1" applyFont="1" applyFill="1" applyBorder="1"/>
    <x:xf numFmtId="0" fontId="6" fillId="7" borderId="2" xfId="0" applyNumberFormat="1" applyFont="1" applyFill="1" applyBorder="1" applyAlignment="1">
      <x:alignment wrapText="1"/>
    </x:xf>
    <x:xf numFmtId="0" fontId="6" fillId="7" borderId="3" xfId="0" applyNumberFormat="1" applyFont="1" applyFill="1" applyBorder="1" applyAlignment="1">
      <x:alignment wrapText="1"/>
    </x:xf>
    <x:xf numFmtId="0" fontId="6" fillId="7" borderId="4" xfId="0" applyNumberFormat="1" applyFont="1" applyFill="1" applyBorder="1" applyAlignment="1">
      <x:alignment wrapText="1"/>
    </x:xf>
    <x:xf numFmtId="0" fontId="6" fillId="7" borderId="2" xfId="0" applyNumberFormat="1" applyFont="1" applyFill="1" applyBorder="1" applyAlignment="1">
      <x:alignment horizontal="center" wrapText="1"/>
    </x:xf>
    <x:xf numFmtId="0" fontId="6" fillId="7" borderId="3" xfId="0" applyNumberFormat="1" applyFont="1" applyFill="1" applyBorder="1" applyAlignment="1">
      <x:alignment horizontal="center" wrapText="1"/>
    </x:xf>
    <x:xf numFmtId="0" fontId="6" fillId="7" borderId="4" xfId="0" applyNumberFormat="1" applyFont="1" applyFill="1" applyBorder="1" applyAlignment="1">
      <x:alignment horizontal="center" wrapText="1"/>
    </x:xf>
    <x:xf numFmtId="0" fontId="6" fillId="7" borderId="2" xfId="0" applyNumberFormat="1" applyFont="1" applyFill="1" applyBorder="1" applyAlignment="1">
      <x:alignment horizontal="center" vertical="center" wrapText="1"/>
    </x:xf>
    <x:xf numFmtId="0" fontId="6" fillId="7" borderId="3" xfId="0" applyNumberFormat="1" applyFont="1" applyFill="1" applyBorder="1" applyAlignment="1">
      <x:alignment horizontal="center" vertical="center" wrapText="1"/>
    </x:xf>
    <x:xf numFmtId="0" fontId="6" fillId="7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xfId="0" applyNumberFormat="1" applyFont="1" applyFill="1" applyBorder="0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8" borderId="5" xfId="0" applyNumberFormat="1" applyFont="1" applyFill="1" applyBorder="1" applyAlignment="1">
      <x:alignment vertical="top" wrapText="1"/>
    </x:xf>
    <x:xf numFmtId="0" fontId="0" fillId="8" borderId="6" xfId="0" applyNumberFormat="1" applyFont="1" applyFill="1" applyBorder="1" applyAlignment="1">
      <x:alignment vertical="top" wrapText="1"/>
    </x:xf>
    <x:xf numFmtId="0" fontId="0" fillId="8" borderId="7" xfId="0" applyNumberFormat="1" applyFont="1" applyFill="1" applyBorder="1" applyAlignment="1">
      <x:alignment vertical="top" wrapText="1"/>
    </x:xf>
    <x:xf numFmtId="0" fontId="0" fillId="8" borderId="8" xfId="0" applyNumberFormat="1" applyFont="1" applyFill="1" applyBorder="1" applyAlignment="1">
      <x:alignment vertical="top" wrapText="1"/>
    </x:xf>
    <x:xf numFmtId="0" fontId="0" fillId="8" xfId="0" applyNumberFormat="1" applyFont="1" applyFill="1" applyBorder="0" applyAlignment="1">
      <x:alignment vertical="top" wrapText="1"/>
    </x:xf>
    <x:xf numFmtId="0" fontId="0" fillId="8" borderId="9" xfId="0" applyNumberFormat="1" applyFont="1" applyFill="1" applyBorder="1" applyAlignment="1">
      <x:alignment vertical="top" wrapText="1"/>
    </x:xf>
    <x:xf numFmtId="0" fontId="0" fillId="8" borderId="10" xfId="0" applyNumberFormat="1" applyFont="1" applyFill="1" applyBorder="1" applyAlignment="1">
      <x:alignment vertical="top" wrapText="1"/>
    </x:xf>
    <x:xf numFmtId="0" fontId="0" fillId="8" borderId="11" xfId="0" applyNumberFormat="1" applyFont="1" applyFill="1" applyBorder="1" applyAlignment="1">
      <x:alignment vertical="top" wrapText="1"/>
    </x:xf>
    <x:xf numFmtId="0" fontId="0" fillId="8" borderId="12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horizontal="center"/>
    </x:xf>
    <x:xf numFmtId="0" fontId="6" fillId="7" borderId="5" xfId="0" applyNumberFormat="1" applyFont="1" applyFill="1" applyBorder="1" applyAlignment="1">
      <x:alignment horizontal="center"/>
    </x:xf>
    <x:xf numFmtId="0" fontId="6" fillId="7" borderId="7" xfId="0" applyNumberFormat="1" applyFont="1" applyFill="1" applyBorder="1" applyAlignment="1">
      <x:alignment horizontal="center"/>
    </x:xf>
    <x:xf numFmtId="0" fontId="0" fillId="6" borderId="8" xfId="0" applyNumberFormat="1" applyFont="1" applyFill="1" applyBorder="1"/>
    <x:xf numFmtId="0" fontId="0" fillId="6" borderId="10" xfId="0" applyNumberFormat="1" applyFont="1" applyFill="1" applyBorder="1"/>
  </x:cellXfs>
  <x:cellStyles count="1">
    <x:cellStyle name="Normal" xfId="0"/>
  </x:cellStyles>
  <x:dxfs count="7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843C0C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b2c5db6da24a21" /><Relationship Type="http://schemas.openxmlformats.org/officeDocument/2006/relationships/theme" Target="/xl/theme/theme1.xml" Id="R8624fce40fb14032" /><Relationship Type="http://schemas.openxmlformats.org/officeDocument/2006/relationships/sharedStrings" Target="/xl/sharedStrings.xml" Id="R7529876cfca842d5" /><Relationship Type="http://schemas.openxmlformats.org/officeDocument/2006/relationships/worksheet" Target="/xl/worksheets/sheet1.xml" Id="R1f066634787245c8" /><Relationship Type="http://schemas.openxmlformats.org/officeDocument/2006/relationships/worksheet" Target="/xl/worksheets/sheet2.xml" Id="R60721564cec84180" /><Relationship Type="http://schemas.openxmlformats.org/officeDocument/2006/relationships/worksheet" Target="/xl/worksheets/sheet3.xml" Id="R29c2e99223c24cbb" /><Relationship Type="http://schemas.openxmlformats.org/officeDocument/2006/relationships/worksheet" Target="/xl/worksheets/sheet4.xml" Id="R63ab89449ebd4b2b" /><Relationship Type="http://schemas.openxmlformats.org/officeDocument/2006/relationships/worksheet" Target="/xl/worksheets/sheet5.xml" Id="Re51c984f1cf5440b" /><Relationship Type="http://schemas.openxmlformats.org/officeDocument/2006/relationships/worksheet" Target="/xl/worksheets/sheet6.xml" Id="R5fc8edfc50c54c72" /><Relationship Type="http://schemas.openxmlformats.org/officeDocument/2006/relationships/worksheet" Target="/xl/worksheets/sheet7.xml" Id="Rf3531556a218470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5706c674b824428" /><Relationship Type="http://schemas.openxmlformats.org/officeDocument/2006/relationships/chart" Target="/xl/drawings/charts/chart2.xml" Id="R776a4b4ba0b8471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利用者区分別の画面数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画面数</c:v>
          </c:tx>
          <c:cat>
            <c:strRef>
              <c:f>'サマリー'!$A$13:$A$18</c:f>
              <c:strCache>
                <c:ptCount val="0"/>
              </c:strCache>
            </c:strRef>
          </c:cat>
          <c:val>
            <c:numRef>
              <c:f>'サマリー'!$B$13:$B$18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開発フェーズ別の画面数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画面数</c:v>
          </c:tx>
          <c:cat>
            <c:strRef>
              <c:f>'サマリー'!$D$13:$D$16</c:f>
              <c:strCache>
                <c:ptCount val="0"/>
              </c:strCache>
            </c:strRef>
          </c:cat>
          <c:val>
            <c:numRef>
              <c:f>'サマリー'!$E$13:$E$16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8</xdr:col>
      <xdr:colOff>0</xdr:colOff>
      <xdr:row>11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706c674b824428"/>
        </a:graphicData>
      </a:graphic>
    </xdr:graphicFrame>
    <xdr:clientData/>
  </xdr:twoCellAnchor>
  <xdr:twoCellAnchor>
    <xdr:from>
      <xdr:col>5</xdr:col>
      <xdr:colOff>0</xdr:colOff>
      <xdr:row>11</xdr:row>
      <xdr:rowOff>0</xdr:rowOff>
    </xdr:from>
    <xdr:to>
      <xdr:col>11</xdr:col>
      <xdr:colOff>0</xdr:colOff>
      <xdr:row>20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76a4b4ba0b8471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creenListTable" displayName="ScreenListTable" ref="A3:Q119" headerRowCount="1">
  <x:tableColumns count="17">
    <x:tableColumn id="1" name="No."/>
    <x:tableColumn id="2" name="画面ID"/>
    <x:tableColumn id="3" name="利用者区分"/>
    <x:tableColumn id="4" name="画面分類"/>
    <x:tableColumn id="5" name="画面名"/>
    <x:tableColumn id="6" name="画面概要"/>
    <x:tableColumn id="7" name="画面種別"/>
    <x:tableColumn id="8" name="URL案"/>
    <x:tableColumn id="9" name="認証"/>
    <x:tableColumn id="10" name="対応機能No."/>
    <x:tableColumn id="11" name="初期公開"/>
    <x:tableColumn id="12" name="開発フェーズ"/>
    <x:tableColumn id="13" name="料金区分"/>
    <x:tableColumn id="14" name="優先度"/>
    <x:tableColumn id="15" name="主デバイス"/>
    <x:tableColumn id="16" name="設計状況"/>
    <x:tableColumn id="17" name="備考"/>
  </x:tableColumns>
  <x:tableStyleInfo name="TableStyleMedium2" showRowStripes="1"/>
</x:table>
</file>

<file path=xl/tables/table2.xml><?xml version="1.0" encoding="utf-8"?>
<x:table xmlns:x="http://schemas.openxmlformats.org/spreadsheetml/2006/main" id="2" name="ScreenFeatureMapTable" displayName="ScreenFeatureMapTable" ref="A3:G249" headerRowCount="1">
  <x:tableColumns count="7">
    <x:tableColumn id="1" name="画面ID"/>
    <x:tableColumn id="2" name="画面名"/>
    <x:tableColumn id="3" name="機能No."/>
    <x:tableColumn id="4" name="大分類"/>
    <x:tableColumn id="5" name="中分類"/>
    <x:tableColumn id="6" name="機能名"/>
    <x:tableColumn id="7" name="画面での役割"/>
  </x:tableColumns>
  <x:tableStyleInfo name="TableStyleMedium2" showRowStripes="1"/>
</x:table>
</file>

<file path=xl/tables/table3.xml><?xml version="1.0" encoding="utf-8"?>
<x:table xmlns:x="http://schemas.openxmlformats.org/spreadsheetml/2006/main" id="3" name="MainFlowTable" displayName="MainFlowTable" ref="A3:H67" headerRowCount="1">
  <x:tableColumns count="8">
    <x:tableColumn id="1" name="フローID"/>
    <x:tableColumn id="2" name="利用者"/>
    <x:tableColumn id="3" name="フロー名"/>
    <x:tableColumn id="4" name="順序"/>
    <x:tableColumn id="5" name="画面ID"/>
    <x:tableColumn id="6" name="画面名"/>
    <x:tableColumn id="7" name="主な操作"/>
    <x:tableColumn id="8" name="次画面ID"/>
  </x:tableColumns>
  <x:tableStyleInfo name="TableStyleMedium2" showRowStripes="1"/>
</x:table>
</file>

<file path=xl/tables/table4.xml><?xml version="1.0" encoding="utf-8"?>
<x:table xmlns:x="http://schemas.openxmlformats.org/spreadsheetml/2006/main" id="4" name="FeatureReferenceTable" displayName="FeatureReferenceTable" ref="A3:L98" headerRowCount="1">
  <x:tableColumns count="12">
    <x:tableColumn id="1" name="No."/>
    <x:tableColumn id="2" name="大分類"/>
    <x:tableColumn id="3" name="中分類"/>
    <x:tableColumn id="4" name="機能名"/>
    <x:tableColumn id="5" name="機能概要"/>
    <x:tableColumn id="6" name="主な利用者"/>
    <x:tableColumn id="7" name="初期公開"/>
    <x:tableColumn id="8" name="料金区分"/>
    <x:tableColumn id="9" name="優先度"/>
    <x:tableColumn id="10" name="開発フェーズ"/>
    <x:tableColumn id="11" name="進捗状態"/>
    <x:tableColumn id="12" name="備考"/>
  </x:tableColumns>
  <x:tableStyleInfo name="TableStyleMedium2" showRowStripes="1"/>
</x:table>
</file>

<file path=xl/tables/table5.xml><?xml version="1.0" encoding="utf-8"?>
<x:table xmlns:x="http://schemas.openxmlformats.org/spreadsheetml/2006/main" id="5" name="ScreenOptionTable" displayName="ScreenOptionTable" ref="A1:B22" headerRowCount="1">
  <x:tableColumns count="2">
    <x:tableColumn id="1" name="項目"/>
    <x:tableColumn id="2" name="選択肢"/>
  </x:tableColumns>
  <x:tableStyleInfo name="TableStyleMedium2" showRowStripes="1"/>
</x:table>
</file>

<file path=xl/tables/table6.xml><?xml version="1.0" encoding="utf-8"?>
<x:table xmlns:x="http://schemas.openxmlformats.org/spreadsheetml/2006/main" id="6" name="RoutingListTable" displayName="RoutingListTable" ref="A3:S178" headerRowCount="1">
  <x:tableColumns count="19">
    <x:tableColumn id="1" name="No."/>
    <x:tableColumn id="2" name="ルーティングID"/>
    <x:tableColumn id="3" name="画面ID"/>
    <x:tableColumn id="4" name="利用者区分"/>
    <x:tableColumn id="5" name="画面分類"/>
    <x:tableColumn id="6" name="画面名"/>
    <x:tableColumn id="7" name="ルート種別"/>
    <x:tableColumn id="8" name="HTTPメソッド"/>
    <x:tableColumn id="9" name="URLパターン"/>
    <x:tableColumn id="10" name="Controllerクラス案"/>
    <x:tableColumn id="11" name="Handlerメソッド案"/>
    <x:tableColumn id="12" name="Thymeleafテンプレート／レスポンス"/>
    <x:tableColumn id="13" name="認証"/>
    <x:tableColumn id="14" name="Spring Security権限案"/>
    <x:tableColumn id="15" name="正常時遷移"/>
    <x:tableColumn id="16" name="エラー時処理"/>
    <x:tableColumn id="17" name="初期公開"/>
    <x:tableColumn id="18" name="開発フェーズ"/>
    <x:tableColumn id="19" name="備考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aeb2208989e414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e0a6ebbe824b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311c3531574a1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43a366826944b1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051b9133d244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b357b2dc8e45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6811725801544b9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8" hidden="0" customWidth="1"/>
    <x:col min="3" max="3" width="12" hidden="0" customWidth="1"/>
    <x:col min="4" max="4" width="32" hidden="0" customWidth="1"/>
    <x:col min="5" max="5" width="28" hidden="0" customWidth="1"/>
    <x:col min="6" max="6" width="18" hidden="0" customWidth="1"/>
    <x:col min="7" max="7" width="18" hidden="0" customWidth="1"/>
    <x:col min="8" max="8" width="32" hidden="0" customWidth="1"/>
  </x:cols>
  <x:sheetData>
    <x:row r="1" ht="30" customHeight="1">
      <x:c r="A1" s="5" t="str">
        <x:v>想定画面一覧 サマリー</x:v>
      </x:c>
      <x:c r="B1" s="5"/>
      <x:c r="C1" s="5"/>
      <x:c r="D1" s="5"/>
      <x:c r="E1" s="5"/>
      <x:c r="F1" s="5"/>
      <x:c r="G1" s="5"/>
      <x:c r="H1" s="5"/>
    </x:row>
    <x:row r="2">
      <x:c r="A2" s="13" t="str">
        <x:v>機能一覧95件から想定した画面数、利用者区分、開発フェーズを集計しています。</x:v>
      </x:c>
      <x:c r="B2" s="13"/>
      <x:c r="C2" s="13"/>
      <x:c r="D2" s="13"/>
      <x:c r="E2" s="13"/>
      <x:c r="F2" s="13"/>
      <x:c r="G2" s="13"/>
      <x:c r="H2" s="13"/>
    </x:row>
    <x:row r="4">
      <x:c r="A4" s="22" t="str">
        <x:v>指標</x:v>
      </x:c>
      <x:c r="B4" s="22" t="str">
        <x:v>件数</x:v>
      </x:c>
      <x:c r="D4" s="95" t="str">
        <x:v>ルーティング指標</x:v>
      </x:c>
      <x:c r="E4" s="96" t="str">
        <x:v>件数</x:v>
      </x:c>
    </x:row>
    <x:row r="5">
      <x:c r="A5" s="30" t="str">
        <x:v>想定画面・ダイアログ総数</x:v>
      </x:c>
      <x:c r="B5" s="34" t="n">
        <x:f>COUNTA('画面一覧'!B4:B119)</x:f>
        <x:v>116</x:v>
      </x:c>
      <x:c r="D5" s="97" t="str">
        <x:v>画面表示ルート</x:v>
      </x:c>
      <x:c r="E5" s="63" t="n">
        <x:v>116</x:v>
      </x:c>
    </x:row>
    <x:row r="6">
      <x:c r="A6" s="30" t="str">
        <x:v>初期公開対象（〇）</x:v>
      </x:c>
      <x:c r="B6" s="34" t="n">
        <x:f>COUNTIF('画面一覧'!K4:K119,"〇")</x:f>
        <x:v>78</x:v>
      </x:c>
      <x:c r="D6" s="97" t="str">
        <x:v>送信・更新ルート</x:v>
      </x:c>
      <x:c r="E6" s="63" t="n">
        <x:v>59</x:v>
      </x:c>
    </x:row>
    <x:row r="7">
      <x:c r="A7" s="30" t="str">
        <x:v>第2段階候補（△）</x:v>
      </x:c>
      <x:c r="B7" s="34" t="n">
        <x:f>COUNTIF('画面一覧'!K4:K119,"△")</x:f>
        <x:v>16</x:v>
      </x:c>
      <x:c r="D7" s="97" t="str">
        <x:v>ルーティング総数</x:v>
      </x:c>
      <x:c r="E7" s="63" t="n">
        <x:v>175</x:v>
      </x:c>
    </x:row>
    <x:row r="8">
      <x:c r="A8" s="30" t="str">
        <x:v>第3・4段階（×）</x:v>
      </x:c>
      <x:c r="B8" s="34" t="n">
        <x:f>COUNTIF('画面一覧'!K4:K119,"×")</x:f>
        <x:v>22</x:v>
      </x:c>
      <x:c r="D8" s="98" t="str">
        <x:v>Controllerクラス案</x:v>
      </x:c>
      <x:c r="E8" s="66" t="n">
        <x:v>50</x:v>
      </x:c>
    </x:row>
    <x:row r="9">
      <x:c r="A9" s="30" t="str">
        <x:v>対応機能マッピング数</x:v>
      </x:c>
      <x:c r="B9" s="34" t="n">
        <x:f>COUNTA('画面機能対応'!A4:A249)</x:f>
        <x:v>246</x:v>
      </x:c>
    </x:row>
    <x:row r="10">
      <x:c r="A10" s="30" t="str">
        <x:v>主要業務フロー数</x:v>
      </x:c>
      <x:c r="B10" s="34" t="n">
        <x:v>11</x:v>
      </x:c>
    </x:row>
    <x:row r="12">
      <x:c r="A12" s="22" t="str">
        <x:v>利用者区分</x:v>
      </x:c>
      <x:c r="B12" s="22" t="str">
        <x:v>画面数</x:v>
      </x:c>
      <x:c r="D12" s="22" t="str">
        <x:v>開発フェーズ</x:v>
      </x:c>
      <x:c r="E12" s="22" t="str">
        <x:v>画面数</x:v>
      </x:c>
    </x:row>
    <x:row r="13">
      <x:c r="A13" s="30" t="str">
        <x:v>公開</x:v>
      </x:c>
      <x:c r="B13" s="30" t="n">
        <x:f>COUNTIF('画面一覧'!C4:C119,A13)</x:f>
        <x:v>8</x:v>
      </x:c>
      <x:c r="D13" s="30" t="str">
        <x:v>第1段階</x:v>
      </x:c>
      <x:c r="E13" s="30" t="n">
        <x:f>COUNTIF('画面一覧'!L4:L119,D13)</x:f>
        <x:v>78</x:v>
      </x:c>
    </x:row>
    <x:row r="14">
      <x:c r="A14" s="30" t="str">
        <x:v>共通</x:v>
      </x:c>
      <x:c r="B14" s="30" t="n">
        <x:f>COUNTIF('画面一覧'!C4:C119,A14)</x:f>
        <x:v>6</x:v>
      </x:c>
      <x:c r="D14" s="30" t="str">
        <x:v>第2段階</x:v>
      </x:c>
      <x:c r="E14" s="30" t="n">
        <x:f>COUNTIF('画面一覧'!L4:L119,D14)</x:f>
        <x:v>16</x:v>
      </x:c>
    </x:row>
    <x:row r="15">
      <x:c r="A15" s="30" t="str">
        <x:v>ユーザー</x:v>
      </x:c>
      <x:c r="B15" s="30" t="n">
        <x:f>COUNTIF('画面一覧'!C4:C119,A15)</x:f>
        <x:v>30</x:v>
      </x:c>
      <x:c r="D15" s="30" t="str">
        <x:v>第3段階</x:v>
      </x:c>
      <x:c r="E15" s="30" t="n">
        <x:f>COUNTIF('画面一覧'!L4:L119,D15)</x:f>
        <x:v>10</x:v>
      </x:c>
    </x:row>
    <x:row r="16">
      <x:c r="A16" s="30" t="str">
        <x:v>従業員</x:v>
      </x:c>
      <x:c r="B16" s="30" t="n">
        <x:f>COUNTIF('画面一覧'!C4:C119,A16)</x:f>
        <x:v>5</x:v>
      </x:c>
      <x:c r="D16" s="30" t="str">
        <x:v>第4段階</x:v>
      </x:c>
      <x:c r="E16" s="30" t="n">
        <x:f>COUNTIF('画面一覧'!L4:L119,D16)</x:f>
        <x:v>12</x:v>
      </x:c>
    </x:row>
    <x:row r="17">
      <x:c r="A17" s="30" t="str">
        <x:v>企業</x:v>
      </x:c>
      <x:c r="B17" s="30" t="n">
        <x:f>COUNTIF('画面一覧'!C4:C119,A17)</x:f>
        <x:v>46</x:v>
      </x:c>
    </x:row>
    <x:row r="18">
      <x:c r="A18" s="30" t="str">
        <x:v>運営</x:v>
      </x:c>
      <x:c r="B18" s="30" t="n">
        <x:f>COUNTIF('画面一覧'!C4:C119,A18)</x:f>
        <x:v>21</x:v>
      </x:c>
    </x:row>
    <x:row r="21">
      <x:c r="A21" s="22" t="str">
        <x:v>画面区分</x:v>
      </x:c>
      <x:c r="B21" s="22" t="str">
        <x:v>代表画面</x:v>
      </x:c>
      <x:c r="C21" s="22" t="str">
        <x:v>初期公開</x:v>
      </x:c>
      <x:c r="D21" s="22" t="str">
        <x:v>主な目的</x:v>
      </x:c>
      <x:c r="E21" s="22" t="str">
        <x:v>URL例</x:v>
      </x:c>
      <x:c r="F21" s="22" t="str">
        <x:v>対象</x:v>
      </x:c>
      <x:c r="G21" s="22" t="str">
        <x:v>料金</x:v>
      </x:c>
      <x:c r="H21" s="22" t="str">
        <x:v>備考</x:v>
      </x:c>
    </x:row>
    <x:row r="22" ht="34" customHeight="1">
      <x:c r="A22" s="30" t="str">
        <x:v>公開</x:v>
      </x:c>
      <x:c r="B22" s="30" t="str">
        <x:v>求人検索・求人詳細</x:v>
      </x:c>
      <x:c r="C22" s="30" t="str">
        <x:v>〇</x:v>
      </x:c>
      <x:c r="D22" s="30" t="str">
        <x:v>求職者の集客と応募導線</x:v>
      </x:c>
      <x:c r="E22" s="30" t="str">
        <x:v>/jobs</x:v>
      </x:c>
      <x:c r="F22" s="30" t="str">
        <x:v>未ログイン含む</x:v>
      </x:c>
      <x:c r="G22" s="30" t="str">
        <x:v>無料</x:v>
      </x:c>
      <x:c r="H22" s="30" t="str">
        <x:v>企業評価と求人条件を同時表示</x:v>
      </x:c>
    </x:row>
    <x:row r="23" ht="34" customHeight="1">
      <x:c r="A23" s="30" t="str">
        <x:v>ユーザー</x:v>
      </x:c>
      <x:c r="B23" s="30" t="str">
        <x:v>マイページ・応募・評価</x:v>
      </x:c>
      <x:c r="C23" s="30" t="str">
        <x:v>〇</x:v>
      </x:c>
      <x:c r="D23" s="30" t="str">
        <x:v>プロフィール、応募、チャット、相互評価</x:v>
      </x:c>
      <x:c r="E23" s="30" t="str">
        <x:v>/mypage</x:v>
      </x:c>
      <x:c r="F23" s="30" t="str">
        <x:v>求職者・就業者</x:v>
      </x:c>
      <x:c r="G23" s="30" t="str">
        <x:v>無料</x:v>
      </x:c>
      <x:c r="H23" s="30" t="str">
        <x:v>勤怠は第4段階</x:v>
      </x:c>
    </x:row>
    <x:row r="24" ht="34" customHeight="1">
      <x:c r="A24" s="30" t="str">
        <x:v>企業</x:v>
      </x:c>
      <x:c r="B24" s="30" t="str">
        <x:v>求人・応募・評価管理</x:v>
      </x:c>
      <x:c r="C24" s="30" t="str">
        <x:v>〇</x:v>
      </x:c>
      <x:c r="D24" s="30" t="str">
        <x:v>求人公開から採用・評価まで</x:v>
      </x:c>
      <x:c r="E24" s="30" t="str">
        <x:v>/company</x:v>
      </x:c>
      <x:c r="F24" s="30" t="str">
        <x:v>企業担当者</x:v>
      </x:c>
      <x:c r="G24" s="30" t="str">
        <x:v>2件まで無料</x:v>
      </x:c>
      <x:c r="H24" s="30" t="str">
        <x:v>3件目公開や管理機能は有料</x:v>
      </x:c>
    </x:row>
    <x:row r="25" ht="34" customHeight="1">
      <x:c r="A25" s="30" t="str">
        <x:v>従業員管理</x:v>
      </x:c>
      <x:c r="B25" s="30" t="str">
        <x:v>従業員・契約・書類</x:v>
      </x:c>
      <x:c r="C25" s="30" t="str">
        <x:v>×</x:v>
      </x:c>
      <x:c r="D25" s="30" t="str">
        <x:v>採用後の雇用管理</x:v>
      </x:c>
      <x:c r="E25" s="30" t="str">
        <x:v>/company/employees</x:v>
      </x:c>
      <x:c r="F25" s="30" t="str">
        <x:v>企業</x:v>
      </x:c>
      <x:c r="G25" s="30" t="str">
        <x:v>有料</x:v>
      </x:c>
      <x:c r="H25" s="30" t="str">
        <x:v>第3段階</x:v>
      </x:c>
    </x:row>
    <x:row r="26" ht="34" customHeight="1">
      <x:c r="A26" s="30" t="str">
        <x:v>勤怠</x:v>
      </x:c>
      <x:c r="B26" s="30" t="str">
        <x:v>打刻・承認・月次締め</x:v>
      </x:c>
      <x:c r="C26" s="30" t="str">
        <x:v>×</x:v>
      </x:c>
      <x:c r="D26" s="30" t="str">
        <x:v>採用後の勤怠運用</x:v>
      </x:c>
      <x:c r="E26" s="30" t="str">
        <x:v>/company/attendance</x:v>
      </x:c>
      <x:c r="F26" s="30" t="str">
        <x:v>従業員・企業</x:v>
      </x:c>
      <x:c r="G26" s="30" t="str">
        <x:v>有料</x:v>
      </x:c>
      <x:c r="H26" s="30" t="str">
        <x:v>第4段階</x:v>
      </x:c>
    </x:row>
    <x:row r="27" ht="34" customHeight="1">
      <x:c r="A27" s="30" t="str">
        <x:v>運営</x:v>
      </x:c>
      <x:c r="B27" s="30" t="str">
        <x:v>審査・通報・料金管理</x:v>
      </x:c>
      <x:c r="C27" s="30" t="str">
        <x:v>〇</x:v>
      </x:c>
      <x:c r="D27" s="30" t="str">
        <x:v>健全性、評価品質、料金算定</x:v>
      </x:c>
      <x:c r="E27" s="30" t="str">
        <x:v>/admin</x:v>
      </x:c>
      <x:c r="F27" s="30" t="str">
        <x:v>運営管理者</x:v>
      </x:c>
      <x:c r="G27" s="30" t="str">
        <x:v>運営機能</x:v>
      </x:c>
      <x:c r="H27" s="30" t="str">
        <x:v>評価協力率を算定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2aeb2208989e4140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4" hidden="0" customWidth="1"/>
    <x:col min="3" max="3" width="11" hidden="0" customWidth="1"/>
    <x:col min="4" max="4" width="14" hidden="0" customWidth="1"/>
    <x:col min="5" max="5" width="24" hidden="0" customWidth="1"/>
    <x:col min="6" max="6" width="42" hidden="0" customWidth="1"/>
    <x:col min="7" max="7" width="14" hidden="0" customWidth="1"/>
    <x:col min="8" max="8" width="38" hidden="0" customWidth="1"/>
    <x:col min="9" max="9" width="11" hidden="0" customWidth="1"/>
    <x:col min="10" max="10" width="15" hidden="0" customWidth="1"/>
    <x:col min="11" max="11" width="10" hidden="0" customWidth="1"/>
    <x:col min="12" max="12" width="12" hidden="0" customWidth="1"/>
    <x:col min="13" max="13" width="17" hidden="0" customWidth="1"/>
    <x:col min="14" max="14" width="11" hidden="0" customWidth="1"/>
    <x:col min="15" max="15" width="13" hidden="0" customWidth="1"/>
    <x:col min="16" max="16" width="12" hidden="0" customWidth="1"/>
    <x:col min="17" max="17" width="32" hidden="0" customWidth="1"/>
    <x:col min="18" max="18" width="16" hidden="0" customWidth="1"/>
    <x:col min="19" max="19" width="31" hidden="0" customWidth="1"/>
    <x:col min="20" max="20" width="34" hidden="0" customWidth="1"/>
  </x:cols>
  <x:sheetData>
    <x:row r="1" ht="30" customHeight="1">
      <x:c r="A1" s="5" t="str">
        <x:v>求人・雇用管理プラットフォーム　想定画面一覧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 ht="32" customHeight="1">
      <x:c r="A2" s="13" t="str">
        <x:v>機能一覧95件から想定した画面・ダイアログの一覧です。URLはSpring Boot＋Thymeleafを想定した案で、設計時に変更できます。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</x:row>
    <x:row r="3" ht="32" customHeight="1">
      <x:c r="A3" s="22" t="str">
        <x:v>No.</x:v>
      </x:c>
      <x:c r="B3" s="22" t="str">
        <x:v>画面ID</x:v>
      </x:c>
      <x:c r="C3" s="22" t="str">
        <x:v>利用者区分</x:v>
      </x:c>
      <x:c r="D3" s="22" t="str">
        <x:v>画面分類</x:v>
      </x:c>
      <x:c r="E3" s="22" t="str">
        <x:v>画面名</x:v>
      </x:c>
      <x:c r="F3" s="22" t="str">
        <x:v>画面概要</x:v>
      </x:c>
      <x:c r="G3" s="22" t="str">
        <x:v>画面種別</x:v>
      </x:c>
      <x:c r="H3" s="22" t="str">
        <x:v>URL案</x:v>
      </x:c>
      <x:c r="I3" s="22" t="str">
        <x:v>認証</x:v>
      </x:c>
      <x:c r="J3" s="22" t="str">
        <x:v>対応機能No.</x:v>
      </x:c>
      <x:c r="K3" s="22" t="str">
        <x:v>初期公開</x:v>
      </x:c>
      <x:c r="L3" s="22" t="str">
        <x:v>開発フェーズ</x:v>
      </x:c>
      <x:c r="M3" s="22" t="str">
        <x:v>料金区分</x:v>
      </x:c>
      <x:c r="N3" s="22" t="str">
        <x:v>優先度</x:v>
      </x:c>
      <x:c r="O3" s="22" t="str">
        <x:v>主デバイス</x:v>
      </x:c>
      <x:c r="P3" s="22" t="str">
        <x:v>設計状況</x:v>
      </x:c>
      <x:c r="Q3" s="22" t="str">
        <x:v>備考</x:v>
      </x:c>
      <x:c r="R3" s="55" t="str">
        <x:v>主ルーティングID</x:v>
      </x:c>
      <x:c r="S3" s="56" t="str">
        <x:v>Controllerクラス案</x:v>
      </x:c>
      <x:c r="T3" s="57" t="str">
        <x:v>Thymeleafテンプレート案</x:v>
      </x:c>
    </x:row>
    <x:row r="4" ht="34" customHeight="1">
      <x:c r="A4" s="30" t="n">
        <x:v>1</x:v>
      </x:c>
      <x:c r="B4" s="30" t="str">
        <x:v>SC-PB-001</x:v>
      </x:c>
      <x:c r="C4" s="30" t="str">
        <x:v>公開</x:v>
      </x:c>
      <x:c r="D4" s="30" t="str">
        <x:v>基本</x:v>
      </x:c>
      <x:c r="E4" s="30" t="str">
        <x:v>トップページ</x:v>
      </x:c>
      <x:c r="F4" s="30" t="str">
        <x:v>サービス概要、求人検索導線、新着求人、評価を活用した特徴を表示する</x:v>
      </x:c>
      <x:c r="G4" s="30" t="str">
        <x:v>ページ</x:v>
      </x:c>
      <x:c r="H4" s="30" t="str">
        <x:v>/</x:v>
      </x:c>
      <x:c r="I4" s="30" t="str">
        <x:v>不要</x:v>
      </x:c>
      <x:c r="J4" s="30" t="str">
        <x:v>62,63,65,79</x:v>
      </x:c>
      <x:c r="K4" s="30" t="str">
        <x:v>〇</x:v>
      </x:c>
      <x:c r="L4" s="30" t="str">
        <x:v>第1段階</x:v>
      </x:c>
      <x:c r="M4" s="30" t="str">
        <x:v>無料</x:v>
      </x:c>
      <x:c r="N4" s="30" t="str">
        <x:v>最優先</x:v>
      </x:c>
      <x:c r="O4" s="30" t="str">
        <x:v>PC・スマホ</x:v>
      </x:c>
      <x:c r="P4" s="30" t="str">
        <x:v>未着手</x:v>
      </x:c>
      <x:c r="Q4" s="30" t="str"/>
      <x:c r="R4" s="76" t="str">
        <x:v>RT-0001</x:v>
      </x:c>
      <x:c r="S4" s="77" t="str">
        <x:v>HomeController</x:v>
      </x:c>
      <x:c r="T4" s="78" t="str">
        <x:v>public/index</x:v>
      </x:c>
    </x:row>
    <x:row r="5" ht="34" customHeight="1">
      <x:c r="A5" s="30" t="n">
        <x:v>2</x:v>
      </x:c>
      <x:c r="B5" s="30" t="str">
        <x:v>SC-PB-002</x:v>
      </x:c>
      <x:c r="C5" s="30" t="str">
        <x:v>公開</x:v>
      </x:c>
      <x:c r="D5" s="30" t="str">
        <x:v>求人検索</x:v>
      </x:c>
      <x:c r="E5" s="30" t="str">
        <x:v>求人検索・一覧</x:v>
      </x:c>
      <x:c r="F5" s="30" t="str">
        <x:v>キーワードと各種条件で求人を検索し、結果を一覧表示する</x:v>
      </x:c>
      <x:c r="G5" s="30" t="str">
        <x:v>ページ</x:v>
      </x:c>
      <x:c r="H5" s="30" t="str">
        <x:v>/jobs</x:v>
      </x:c>
      <x:c r="I5" s="30" t="str">
        <x:v>不要</x:v>
      </x:c>
      <x:c r="J5" s="30" t="str">
        <x:v>62,63,64</x:v>
      </x:c>
      <x:c r="K5" s="30" t="str">
        <x:v>〇</x:v>
      </x:c>
      <x:c r="L5" s="30" t="str">
        <x:v>第1段階</x:v>
      </x:c>
      <x:c r="M5" s="30" t="str">
        <x:v>無料</x:v>
      </x:c>
      <x:c r="N5" s="30" t="str">
        <x:v>最優先</x:v>
      </x:c>
      <x:c r="O5" s="30" t="str">
        <x:v>PC・スマホ</x:v>
      </x:c>
      <x:c r="P5" s="30" t="str">
        <x:v>未着手</x:v>
      </x:c>
      <x:c r="Q5" s="30" t="str"/>
      <x:c r="R5" s="79" t="str">
        <x:v>RT-0002</x:v>
      </x:c>
      <x:c r="S5" s="80" t="str">
        <x:v>PublicJobController</x:v>
      </x:c>
      <x:c r="T5" s="81" t="str">
        <x:v>public/jobs</x:v>
      </x:c>
    </x:row>
    <x:row r="6" ht="34" customHeight="1">
      <x:c r="A6" s="30" t="n">
        <x:v>3</x:v>
      </x:c>
      <x:c r="B6" s="30" t="str">
        <x:v>SC-PB-003</x:v>
      </x:c>
      <x:c r="C6" s="30" t="str">
        <x:v>公開</x:v>
      </x:c>
      <x:c r="D6" s="30" t="str">
        <x:v>求人検索</x:v>
      </x:c>
      <x:c r="E6" s="30" t="str">
        <x:v>求人詳細</x:v>
      </x:c>
      <x:c r="F6" s="30" t="str">
        <x:v>求人条件、企業情報、企業評価を確認し、応募・お気に入り・問い合わせへ進む</x:v>
      </x:c>
      <x:c r="G6" s="30" t="str">
        <x:v>ページ</x:v>
      </x:c>
      <x:c r="H6" s="30" t="str">
        <x:v>/jobs/{jobId}</x:v>
      </x:c>
      <x:c r="I6" s="30" t="str">
        <x:v>不要</x:v>
      </x:c>
      <x:c r="J6" s="30" t="str">
        <x:v>51,55,65,69</x:v>
      </x:c>
      <x:c r="K6" s="30" t="str">
        <x:v>〇</x:v>
      </x:c>
      <x:c r="L6" s="30" t="str">
        <x:v>第1段階</x:v>
      </x:c>
      <x:c r="M6" s="30" t="str">
        <x:v>無料</x:v>
      </x:c>
      <x:c r="N6" s="30" t="str">
        <x:v>最優先</x:v>
      </x:c>
      <x:c r="O6" s="30" t="str">
        <x:v>PC・スマホ</x:v>
      </x:c>
      <x:c r="P6" s="30" t="str">
        <x:v>未着手</x:v>
      </x:c>
      <x:c r="Q6" s="30" t="str"/>
      <x:c r="R6" s="79" t="str">
        <x:v>RT-0003</x:v>
      </x:c>
      <x:c r="S6" s="80" t="str">
        <x:v>PublicJobController</x:v>
      </x:c>
      <x:c r="T6" s="81" t="str">
        <x:v>public/jobs/detail</x:v>
      </x:c>
    </x:row>
    <x:row r="7" ht="34" customHeight="1">
      <x:c r="A7" s="30" t="n">
        <x:v>4</x:v>
      </x:c>
      <x:c r="B7" s="30" t="str">
        <x:v>SC-PB-004</x:v>
      </x:c>
      <x:c r="C7" s="30" t="str">
        <x:v>公開</x:v>
      </x:c>
      <x:c r="D7" s="30" t="str">
        <x:v>企業情報</x:v>
      </x:c>
      <x:c r="E7" s="30" t="str">
        <x:v>企業公開プロフィール</x:v>
      </x:c>
      <x:c r="F7" s="30" t="str">
        <x:v>企業概要、事業内容、福利厚生、求人、評価協力率を表示する</x:v>
      </x:c>
      <x:c r="G7" s="30" t="str">
        <x:v>ページ</x:v>
      </x:c>
      <x:c r="H7" s="30" t="str">
        <x:v>/companies/{companyId}</x:v>
      </x:c>
      <x:c r="I7" s="30" t="str">
        <x:v>不要</x:v>
      </x:c>
      <x:c r="J7" s="30" t="str">
        <x:v>4,26,56</x:v>
      </x:c>
      <x:c r="K7" s="30" t="str">
        <x:v>〇</x:v>
      </x:c>
      <x:c r="L7" s="30" t="str">
        <x:v>第1段階</x:v>
      </x:c>
      <x:c r="M7" s="30" t="str">
        <x:v>無料</x:v>
      </x:c>
      <x:c r="N7" s="30" t="str">
        <x:v>高</x:v>
      </x:c>
      <x:c r="O7" s="30" t="str">
        <x:v>PC・スマホ</x:v>
      </x:c>
      <x:c r="P7" s="30" t="str">
        <x:v>未着手</x:v>
      </x:c>
      <x:c r="Q7" s="30" t="str"/>
      <x:c r="R7" s="79" t="str">
        <x:v>RT-0004</x:v>
      </x:c>
      <x:c r="S7" s="80" t="str">
        <x:v>PublicCompanyController</x:v>
      </x:c>
      <x:c r="T7" s="81" t="str">
        <x:v>public/companies/detail</x:v>
      </x:c>
    </x:row>
    <x:row r="8" ht="34" customHeight="1">
      <x:c r="A8" s="30" t="n">
        <x:v>5</x:v>
      </x:c>
      <x:c r="B8" s="30" t="str">
        <x:v>SC-PB-005</x:v>
      </x:c>
      <x:c r="C8" s="30" t="str">
        <x:v>公開</x:v>
      </x:c>
      <x:c r="D8" s="30" t="str">
        <x:v>評価</x:v>
      </x:c>
      <x:c r="E8" s="30" t="str">
        <x:v>企業評価一覧</x:v>
      </x:c>
      <x:c r="F8" s="30" t="str">
        <x:v>企業に対する評価、項目別集計、コメントを表示する</x:v>
      </x:c>
      <x:c r="G8" s="30" t="str">
        <x:v>ページ</x:v>
      </x:c>
      <x:c r="H8" s="30" t="str">
        <x:v>/companies/{companyId}/reviews</x:v>
      </x:c>
      <x:c r="I8" s="30" t="str">
        <x:v>不要</x:v>
      </x:c>
      <x:c r="J8" s="30" t="str">
        <x:v>26,57,58,75</x:v>
      </x:c>
      <x:c r="K8" s="30" t="str">
        <x:v>〇</x:v>
      </x:c>
      <x:c r="L8" s="30" t="str">
        <x:v>第1段階</x:v>
      </x:c>
      <x:c r="M8" s="30" t="str">
        <x:v>無料</x:v>
      </x:c>
      <x:c r="N8" s="30" t="str">
        <x:v>高</x:v>
      </x:c>
      <x:c r="O8" s="30" t="str">
        <x:v>PC・スマホ</x:v>
      </x:c>
      <x:c r="P8" s="30" t="str">
        <x:v>未着手</x:v>
      </x:c>
      <x:c r="Q8" s="30" t="str"/>
      <x:c r="R8" s="79" t="str">
        <x:v>RT-0005</x:v>
      </x:c>
      <x:c r="S8" s="80" t="str">
        <x:v>PublicCompanyController</x:v>
      </x:c>
      <x:c r="T8" s="81" t="str">
        <x:v>public/companies/reviews</x:v>
      </x:c>
    </x:row>
    <x:row r="9" ht="34" customHeight="1">
      <x:c r="A9" s="30" t="n">
        <x:v>6</x:v>
      </x:c>
      <x:c r="B9" s="30" t="str">
        <x:v>SC-PB-006</x:v>
      </x:c>
      <x:c r="C9" s="30" t="str">
        <x:v>共通</x:v>
      </x:c>
      <x:c r="D9" s="30" t="str">
        <x:v>認証</x:v>
      </x:c>
      <x:c r="E9" s="30" t="str">
        <x:v>ログイン</x:v>
      </x:c>
      <x:c r="F9" s="30" t="str">
        <x:v>企業・ユーザーがメールアドレスとパスワードでログインする</x:v>
      </x:c>
      <x:c r="G9" s="30" t="str">
        <x:v>ページ</x:v>
      </x:c>
      <x:c r="H9" s="30" t="str">
        <x:v>/login</x:v>
      </x:c>
      <x:c r="I9" s="30" t="str">
        <x:v>不要</x:v>
      </x:c>
      <x:c r="J9" s="30" t="str">
        <x:v>43</x:v>
      </x:c>
      <x:c r="K9" s="30" t="str">
        <x:v>〇</x:v>
      </x:c>
      <x:c r="L9" s="30" t="str">
        <x:v>第1段階</x:v>
      </x:c>
      <x:c r="M9" s="30" t="str">
        <x:v>無料</x:v>
      </x:c>
      <x:c r="N9" s="30" t="str">
        <x:v>最優先</x:v>
      </x:c>
      <x:c r="O9" s="30" t="str">
        <x:v>PC・スマホ</x:v>
      </x:c>
      <x:c r="P9" s="30" t="str">
        <x:v>未着手</x:v>
      </x:c>
      <x:c r="Q9" s="30" t="str"/>
      <x:c r="R9" s="79" t="str">
        <x:v>RT-0006</x:v>
      </x:c>
      <x:c r="S9" s="80" t="str">
        <x:v>AuthenticationController</x:v>
      </x:c>
      <x:c r="T9" s="81" t="str">
        <x:v>auth/login</x:v>
      </x:c>
    </x:row>
    <x:row r="10" ht="34" customHeight="1">
      <x:c r="A10" s="30" t="n">
        <x:v>7</x:v>
      </x:c>
      <x:c r="B10" s="30" t="str">
        <x:v>SC-PB-007</x:v>
      </x:c>
      <x:c r="C10" s="30" t="str">
        <x:v>ユーザー</x:v>
      </x:c>
      <x:c r="D10" s="30" t="str">
        <x:v>認証</x:v>
      </x:c>
      <x:c r="E10" s="30" t="str">
        <x:v>ユーザー新規登録</x:v>
      </x:c>
      <x:c r="F10" s="30" t="str">
        <x:v>求職者・就業者用アカウントを作成する</x:v>
      </x:c>
      <x:c r="G10" s="30" t="str">
        <x:v>ページ</x:v>
      </x:c>
      <x:c r="H10" s="30" t="str">
        <x:v>/signup/user</x:v>
      </x:c>
      <x:c r="I10" s="30" t="str">
        <x:v>不要</x:v>
      </x:c>
      <x:c r="J10" s="30" t="str">
        <x:v>41</x:v>
      </x:c>
      <x:c r="K10" s="30" t="str">
        <x:v>〇</x:v>
      </x:c>
      <x:c r="L10" s="30" t="str">
        <x:v>第1段階</x:v>
      </x:c>
      <x:c r="M10" s="30" t="str">
        <x:v>無料</x:v>
      </x:c>
      <x:c r="N10" s="30" t="str">
        <x:v>最優先</x:v>
      </x:c>
      <x:c r="O10" s="30" t="str">
        <x:v>PC・スマホ</x:v>
      </x:c>
      <x:c r="P10" s="30" t="str">
        <x:v>未着手</x:v>
      </x:c>
      <x:c r="Q10" s="30" t="str"/>
      <x:c r="R10" s="79" t="str">
        <x:v>RT-0008</x:v>
      </x:c>
      <x:c r="S10" s="80" t="str">
        <x:v>AuthenticationController</x:v>
      </x:c>
      <x:c r="T10" s="81" t="str">
        <x:v>auth/signup/user</x:v>
      </x:c>
    </x:row>
    <x:row r="11" ht="34" customHeight="1">
      <x:c r="A11" s="30" t="n">
        <x:v>8</x:v>
      </x:c>
      <x:c r="B11" s="30" t="str">
        <x:v>SC-PB-008</x:v>
      </x:c>
      <x:c r="C11" s="30" t="str">
        <x:v>企業</x:v>
      </x:c>
      <x:c r="D11" s="30" t="str">
        <x:v>認証</x:v>
      </x:c>
      <x:c r="E11" s="30" t="str">
        <x:v>企業アカウント新規登録</x:v>
      </x:c>
      <x:c r="F11" s="30" t="str">
        <x:v>企業担当者アカウントを作成する</x:v>
      </x:c>
      <x:c r="G11" s="30" t="str">
        <x:v>ページ</x:v>
      </x:c>
      <x:c r="H11" s="30" t="str">
        <x:v>/signup/company</x:v>
      </x:c>
      <x:c r="I11" s="30" t="str">
        <x:v>不要</x:v>
      </x:c>
      <x:c r="J11" s="30" t="str">
        <x:v>1</x:v>
      </x:c>
      <x:c r="K11" s="30" t="str">
        <x:v>〇</x:v>
      </x:c>
      <x:c r="L11" s="30" t="str">
        <x:v>第1段階</x:v>
      </x:c>
      <x:c r="M11" s="30" t="str">
        <x:v>無料</x:v>
      </x:c>
      <x:c r="N11" s="30" t="str">
        <x:v>最優先</x:v>
      </x:c>
      <x:c r="O11" s="30" t="str">
        <x:v>PC・スマホ</x:v>
      </x:c>
      <x:c r="P11" s="30" t="str">
        <x:v>未着手</x:v>
      </x:c>
      <x:c r="Q11" s="30" t="str"/>
      <x:c r="R11" s="79" t="str">
        <x:v>RT-0010</x:v>
      </x:c>
      <x:c r="S11" s="80" t="str">
        <x:v>AuthenticationController</x:v>
      </x:c>
      <x:c r="T11" s="81" t="str">
        <x:v>auth/signup/company</x:v>
      </x:c>
    </x:row>
    <x:row r="12" ht="34" customHeight="1">
      <x:c r="A12" s="30" t="n">
        <x:v>9</x:v>
      </x:c>
      <x:c r="B12" s="30" t="str">
        <x:v>SC-PB-009</x:v>
      </x:c>
      <x:c r="C12" s="30" t="str">
        <x:v>共通</x:v>
      </x:c>
      <x:c r="D12" s="30" t="str">
        <x:v>認証</x:v>
      </x:c>
      <x:c r="E12" s="30" t="str">
        <x:v>メール認証案内</x:v>
      </x:c>
      <x:c r="F12" s="30" t="str">
        <x:v>認証メールの送信結果と再送信操作を表示する</x:v>
      </x:c>
      <x:c r="G12" s="30" t="str">
        <x:v>ページ</x:v>
      </x:c>
      <x:c r="H12" s="30" t="str">
        <x:v>/verify-email</x:v>
      </x:c>
      <x:c r="I12" s="30" t="str">
        <x:v>一部必要</x:v>
      </x:c>
      <x:c r="J12" s="30" t="str">
        <x:v>1,42</x:v>
      </x:c>
      <x:c r="K12" s="30" t="str">
        <x:v>〇</x:v>
      </x:c>
      <x:c r="L12" s="30" t="str">
        <x:v>第1段階</x:v>
      </x:c>
      <x:c r="M12" s="30" t="str">
        <x:v>無料</x:v>
      </x:c>
      <x:c r="N12" s="30" t="str">
        <x:v>高</x:v>
      </x:c>
      <x:c r="O12" s="30" t="str">
        <x:v>PC・スマホ</x:v>
      </x:c>
      <x:c r="P12" s="30" t="str">
        <x:v>未着手</x:v>
      </x:c>
      <x:c r="Q12" s="30" t="str"/>
      <x:c r="R12" s="79" t="str">
        <x:v>RT-0012</x:v>
      </x:c>
      <x:c r="S12" s="80" t="str">
        <x:v>AuthenticationController</x:v>
      </x:c>
      <x:c r="T12" s="81" t="str">
        <x:v>auth/verify-email</x:v>
      </x:c>
    </x:row>
    <x:row r="13" ht="34" customHeight="1">
      <x:c r="A13" s="30" t="n">
        <x:v>10</x:v>
      </x:c>
      <x:c r="B13" s="30" t="str">
        <x:v>SC-PB-010</x:v>
      </x:c>
      <x:c r="C13" s="30" t="str">
        <x:v>共通</x:v>
      </x:c>
      <x:c r="D13" s="30" t="str">
        <x:v>認証</x:v>
      </x:c>
      <x:c r="E13" s="30" t="str">
        <x:v>メール認証完了</x:v>
      </x:c>
      <x:c r="F13" s="30" t="str">
        <x:v>メール認証結果を表示し、ログインまたは初期登録へ案内する</x:v>
      </x:c>
      <x:c r="G13" s="30" t="str">
        <x:v>ページ</x:v>
      </x:c>
      <x:c r="H13" s="30" t="str">
        <x:v>/verify-email/complete</x:v>
      </x:c>
      <x:c r="I13" s="30" t="str">
        <x:v>不要</x:v>
      </x:c>
      <x:c r="J13" s="30" t="str">
        <x:v>1,42</x:v>
      </x:c>
      <x:c r="K13" s="30" t="str">
        <x:v>〇</x:v>
      </x:c>
      <x:c r="L13" s="30" t="str">
        <x:v>第1段階</x:v>
      </x:c>
      <x:c r="M13" s="30" t="str">
        <x:v>無料</x:v>
      </x:c>
      <x:c r="N13" s="30" t="str">
        <x:v>高</x:v>
      </x:c>
      <x:c r="O13" s="30" t="str">
        <x:v>PC・スマホ</x:v>
      </x:c>
      <x:c r="P13" s="30" t="str">
        <x:v>未着手</x:v>
      </x:c>
      <x:c r="Q13" s="30" t="str"/>
      <x:c r="R13" s="79" t="str">
        <x:v>RT-0014</x:v>
      </x:c>
      <x:c r="S13" s="80" t="str">
        <x:v>AuthenticationController</x:v>
      </x:c>
      <x:c r="T13" s="81" t="str">
        <x:v>auth/verify-email/complete</x:v>
      </x:c>
    </x:row>
    <x:row r="14" ht="34" customHeight="1">
      <x:c r="A14" s="30" t="n">
        <x:v>11</x:v>
      </x:c>
      <x:c r="B14" s="30" t="str">
        <x:v>SC-PB-011</x:v>
      </x:c>
      <x:c r="C14" s="30" t="str">
        <x:v>共通</x:v>
      </x:c>
      <x:c r="D14" s="30" t="str">
        <x:v>認証</x:v>
      </x:c>
      <x:c r="E14" s="30" t="str">
        <x:v>パスワード再設定申請</x:v>
      </x:c>
      <x:c r="F14" s="30" t="str">
        <x:v>再設定メールの送信先を入力する</x:v>
      </x:c>
      <x:c r="G14" s="30" t="str">
        <x:v>ページ</x:v>
      </x:c>
      <x:c r="H14" s="30" t="str">
        <x:v>/password/forgot</x:v>
      </x:c>
      <x:c r="I14" s="30" t="str">
        <x:v>不要</x:v>
      </x:c>
      <x:c r="J14" s="30" t="str">
        <x:v>81</x:v>
      </x:c>
      <x:c r="K14" s="30" t="str">
        <x:v>〇</x:v>
      </x:c>
      <x:c r="L14" s="30" t="str">
        <x:v>第1段階</x:v>
      </x:c>
      <x:c r="M14" s="30" t="str">
        <x:v>無料</x:v>
      </x:c>
      <x:c r="N14" s="30" t="str">
        <x:v>高</x:v>
      </x:c>
      <x:c r="O14" s="30" t="str">
        <x:v>PC・スマホ</x:v>
      </x:c>
      <x:c r="P14" s="30" t="str">
        <x:v>未着手</x:v>
      </x:c>
      <x:c r="Q14" s="30" t="str"/>
      <x:c r="R14" s="79" t="str">
        <x:v>RT-0015</x:v>
      </x:c>
      <x:c r="S14" s="80" t="str">
        <x:v>AuthenticationController</x:v>
      </x:c>
      <x:c r="T14" s="81" t="str">
        <x:v>auth/password/forgot</x:v>
      </x:c>
    </x:row>
    <x:row r="15" ht="34" customHeight="1">
      <x:c r="A15" s="30" t="n">
        <x:v>12</x:v>
      </x:c>
      <x:c r="B15" s="30" t="str">
        <x:v>SC-PB-012</x:v>
      </x:c>
      <x:c r="C15" s="30" t="str">
        <x:v>共通</x:v>
      </x:c>
      <x:c r="D15" s="30" t="str">
        <x:v>認証</x:v>
      </x:c>
      <x:c r="E15" s="30" t="str">
        <x:v>パスワード再設定</x:v>
      </x:c>
      <x:c r="F15" s="30" t="str">
        <x:v>新しいパスワードを登録する</x:v>
      </x:c>
      <x:c r="G15" s="30" t="str">
        <x:v>ページ</x:v>
      </x:c>
      <x:c r="H15" s="30" t="str">
        <x:v>/password/reset</x:v>
      </x:c>
      <x:c r="I15" s="30" t="str">
        <x:v>不要</x:v>
      </x:c>
      <x:c r="J15" s="30" t="str">
        <x:v>81</x:v>
      </x:c>
      <x:c r="K15" s="30" t="str">
        <x:v>〇</x:v>
      </x:c>
      <x:c r="L15" s="30" t="str">
        <x:v>第1段階</x:v>
      </x:c>
      <x:c r="M15" s="30" t="str">
        <x:v>無料</x:v>
      </x:c>
      <x:c r="N15" s="30" t="str">
        <x:v>高</x:v>
      </x:c>
      <x:c r="O15" s="30" t="str">
        <x:v>PC・スマホ</x:v>
      </x:c>
      <x:c r="P15" s="30" t="str">
        <x:v>未着手</x:v>
      </x:c>
      <x:c r="Q15" s="30" t="str"/>
      <x:c r="R15" s="79" t="str">
        <x:v>RT-0017</x:v>
      </x:c>
      <x:c r="S15" s="80" t="str">
        <x:v>AuthenticationController</x:v>
      </x:c>
      <x:c r="T15" s="81" t="str">
        <x:v>auth/password/reset</x:v>
      </x:c>
    </x:row>
    <x:row r="16" ht="34" customHeight="1">
      <x:c r="A16" s="30" t="n">
        <x:v>13</x:v>
      </x:c>
      <x:c r="B16" s="30" t="str">
        <x:v>SC-PB-013</x:v>
      </x:c>
      <x:c r="C16" s="30" t="str">
        <x:v>公開</x:v>
      </x:c>
      <x:c r="D16" s="30" t="str">
        <x:v>料金</x:v>
      </x:c>
      <x:c r="E16" s="30" t="str">
        <x:v>料金・プラン案内</x:v>
      </x:c>
      <x:c r="F16" s="30" t="str">
        <x:v>無料枠、有料条件、評価協力率と月額料金の考え方を表示する</x:v>
      </x:c>
      <x:c r="G16" s="30" t="str">
        <x:v>ページ</x:v>
      </x:c>
      <x:c r="H16" s="30" t="str">
        <x:v>/pricing</x:v>
      </x:c>
      <x:c r="I16" s="30" t="str">
        <x:v>不要</x:v>
      </x:c>
      <x:c r="J16" s="30" t="str">
        <x:v>7,10,28,34,89,90,91</x:v>
      </x:c>
      <x:c r="K16" s="30" t="str">
        <x:v>〇</x:v>
      </x:c>
      <x:c r="L16" s="30" t="str">
        <x:v>第1段階</x:v>
      </x:c>
      <x:c r="M16" s="30" t="str">
        <x:v>無料</x:v>
      </x:c>
      <x:c r="N16" s="30" t="str">
        <x:v>高</x:v>
      </x:c>
      <x:c r="O16" s="30" t="str">
        <x:v>PC・スマホ</x:v>
      </x:c>
      <x:c r="P16" s="30" t="str">
        <x:v>未着手</x:v>
      </x:c>
      <x:c r="Q16" s="30" t="str"/>
      <x:c r="R16" s="79" t="str">
        <x:v>RT-0019</x:v>
      </x:c>
      <x:c r="S16" s="80" t="str">
        <x:v>PricingController</x:v>
      </x:c>
      <x:c r="T16" s="81" t="str">
        <x:v>public/pricing</x:v>
      </x:c>
    </x:row>
    <x:row r="17" ht="34" customHeight="1">
      <x:c r="A17" s="30" t="n">
        <x:v>14</x:v>
      </x:c>
      <x:c r="B17" s="30" t="str">
        <x:v>SC-PB-014</x:v>
      </x:c>
      <x:c r="C17" s="30" t="str">
        <x:v>公開</x:v>
      </x:c>
      <x:c r="D17" s="30" t="str">
        <x:v>サポート</x:v>
      </x:c>
      <x:c r="E17" s="30" t="str">
        <x:v>お問い合わせ</x:v>
      </x:c>
      <x:c r="F17" s="30" t="str">
        <x:v>問い合わせ内容と連絡先を入力して運営へ送信する</x:v>
      </x:c>
      <x:c r="G17" s="30" t="str">
        <x:v>ページ</x:v>
      </x:c>
      <x:c r="H17" s="30" t="str">
        <x:v>/contact</x:v>
      </x:c>
      <x:c r="I17" s="30" t="str">
        <x:v>不要</x:v>
      </x:c>
      <x:c r="J17" s="30" t="str">
        <x:v>94</x:v>
      </x:c>
      <x:c r="K17" s="30" t="str">
        <x:v>〇</x:v>
      </x:c>
      <x:c r="L17" s="30" t="str">
        <x:v>第1段階</x:v>
      </x:c>
      <x:c r="M17" s="30" t="str">
        <x:v>無料</x:v>
      </x:c>
      <x:c r="N17" s="30" t="str">
        <x:v>中</x:v>
      </x:c>
      <x:c r="O17" s="30" t="str">
        <x:v>PC・スマホ</x:v>
      </x:c>
      <x:c r="P17" s="30" t="str">
        <x:v>未着手</x:v>
      </x:c>
      <x:c r="Q17" s="30" t="str"/>
      <x:c r="R17" s="79" t="str">
        <x:v>RT-0020</x:v>
      </x:c>
      <x:c r="S17" s="80" t="str">
        <x:v>ContactController</x:v>
      </x:c>
      <x:c r="T17" s="81" t="str">
        <x:v>public/contact</x:v>
      </x:c>
    </x:row>
    <x:row r="18" ht="34" customHeight="1">
      <x:c r="A18" s="30" t="n">
        <x:v>15</x:v>
      </x:c>
      <x:c r="B18" s="30" t="str">
        <x:v>SC-PB-015</x:v>
      </x:c>
      <x:c r="C18" s="30" t="str">
        <x:v>公開</x:v>
      </x:c>
      <x:c r="D18" s="30" t="str">
        <x:v>規約</x:v>
      </x:c>
      <x:c r="E18" s="30" t="str">
        <x:v>利用規約・プライバシー</x:v>
      </x:c>
      <x:c r="F18" s="30" t="str">
        <x:v>利用規約、プライバシーポリシー、評価投稿ガイドラインを表示する</x:v>
      </x:c>
      <x:c r="G18" s="30" t="str">
        <x:v>ページ</x:v>
      </x:c>
      <x:c r="H18" s="30" t="str">
        <x:v>/terms</x:v>
      </x:c>
      <x:c r="I18" s="30" t="str">
        <x:v>不要</x:v>
      </x:c>
      <x:c r="J18" s="30" t="str"/>
      <x:c r="K18" s="30" t="str">
        <x:v>〇</x:v>
      </x:c>
      <x:c r="L18" s="30" t="str">
        <x:v>第1段階</x:v>
      </x:c>
      <x:c r="M18" s="30" t="str">
        <x:v>無料</x:v>
      </x:c>
      <x:c r="N18" s="30" t="str">
        <x:v>高</x:v>
      </x:c>
      <x:c r="O18" s="30" t="str">
        <x:v>PC・スマホ</x:v>
      </x:c>
      <x:c r="P18" s="30" t="str">
        <x:v>未着手</x:v>
      </x:c>
      <x:c r="Q18" s="30" t="str">
        <x:v>機能一覧を補完する必須公開画面</x:v>
      </x:c>
      <x:c r="R18" s="79" t="str">
        <x:v>RT-0022</x:v>
      </x:c>
      <x:c r="S18" s="80" t="str">
        <x:v>TermsController</x:v>
      </x:c>
      <x:c r="T18" s="81" t="str">
        <x:v>public/terms</x:v>
      </x:c>
    </x:row>
    <x:row r="19" ht="34" customHeight="1">
      <x:c r="A19" s="30" t="n">
        <x:v>16</x:v>
      </x:c>
      <x:c r="B19" s="30" t="str">
        <x:v>SC-PB-016</x:v>
      </x:c>
      <x:c r="C19" s="30" t="str">
        <x:v>共通</x:v>
      </x:c>
      <x:c r="D19" s="30" t="str">
        <x:v>エラー</x:v>
      </x:c>
      <x:c r="E19" s="30" t="str">
        <x:v>権限・上限エラー案内</x:v>
      </x:c>
      <x:c r="F19" s="30" t="str">
        <x:v>権限不足、求人公開枠超過、契約制限時の理由と次の操作を表示する</x:v>
      </x:c>
      <x:c r="G19" s="30" t="str">
        <x:v>ページ／ダイアログ</x:v>
      </x:c>
      <x:c r="H19" s="30" t="str">
        <x:v>/error/access</x:v>
      </x:c>
      <x:c r="I19" s="30" t="str">
        <x:v>状況による</x:v>
      </x:c>
      <x:c r="J19" s="30" t="str">
        <x:v>10,89,91</x:v>
      </x:c>
      <x:c r="K19" s="30" t="str">
        <x:v>〇</x:v>
      </x:c>
      <x:c r="L19" s="30" t="str">
        <x:v>第1段階</x:v>
      </x:c>
      <x:c r="M19" s="30" t="str">
        <x:v>無料・有料共通</x:v>
      </x:c>
      <x:c r="N19" s="30" t="str">
        <x:v>高</x:v>
      </x:c>
      <x:c r="O19" s="30" t="str">
        <x:v>PC・スマホ</x:v>
      </x:c>
      <x:c r="P19" s="30" t="str">
        <x:v>未着手</x:v>
      </x:c>
      <x:c r="Q19" s="30" t="str"/>
      <x:c r="R19" s="79" t="str">
        <x:v>RT-0023</x:v>
      </x:c>
      <x:c r="S19" s="80" t="str">
        <x:v>ErrorPageController</x:v>
      </x:c>
      <x:c r="T19" s="81" t="str">
        <x:v>public/error/access</x:v>
      </x:c>
    </x:row>
    <x:row r="20" ht="34" customHeight="1">
      <x:c r="A20" s="30" t="n">
        <x:v>17</x:v>
      </x:c>
      <x:c r="B20" s="30" t="str">
        <x:v>SC-US-001</x:v>
      </x:c>
      <x:c r="C20" s="30" t="str">
        <x:v>ユーザー</x:v>
      </x:c>
      <x:c r="D20" s="30" t="str">
        <x:v>ダッシュボード</x:v>
      </x:c>
      <x:c r="E20" s="30" t="str">
        <x:v>ユーザーマイページ</x:v>
      </x:c>
      <x:c r="F20" s="30" t="str">
        <x:v>応募状況、未読チャット、評価依頼、お気に入り、新着通知をまとめて表示する</x:v>
      </x:c>
      <x:c r="G20" s="30" t="str">
        <x:v>ページ</x:v>
      </x:c>
      <x:c r="H20" s="30" t="str">
        <x:v>/mypage</x:v>
      </x:c>
      <x:c r="I20" s="30" t="str">
        <x:v>必要</x:v>
      </x:c>
      <x:c r="J20" s="30" t="str">
        <x:v>52,55,60,68,77,79</x:v>
      </x:c>
      <x:c r="K20" s="30" t="str">
        <x:v>〇</x:v>
      </x:c>
      <x:c r="L20" s="30" t="str">
        <x:v>第1段階</x:v>
      </x:c>
      <x:c r="M20" s="30" t="str">
        <x:v>無料</x:v>
      </x:c>
      <x:c r="N20" s="30" t="str">
        <x:v>最優先</x:v>
      </x:c>
      <x:c r="O20" s="30" t="str">
        <x:v>PC・スマホ</x:v>
      </x:c>
      <x:c r="P20" s="30" t="str">
        <x:v>未着手</x:v>
      </x:c>
      <x:c r="Q20" s="30" t="str"/>
      <x:c r="R20" s="79" t="str">
        <x:v>RT-0024</x:v>
      </x:c>
      <x:c r="S20" s="80" t="str">
        <x:v>UserMypageController</x:v>
      </x:c>
      <x:c r="T20" s="81" t="str">
        <x:v>mypage/dashboard</x:v>
      </x:c>
    </x:row>
    <x:row r="21" ht="34" customHeight="1">
      <x:c r="A21" s="30" t="n">
        <x:v>18</x:v>
      </x:c>
      <x:c r="B21" s="30" t="str">
        <x:v>SC-US-002</x:v>
      </x:c>
      <x:c r="C21" s="30" t="str">
        <x:v>ユーザー</x:v>
      </x:c>
      <x:c r="D21" s="30" t="str">
        <x:v>プロフィール</x:v>
      </x:c>
      <x:c r="E21" s="30" t="str">
        <x:v>プロフィール確認</x:v>
      </x:c>
      <x:c r="F21" s="30" t="str">
        <x:v>企業に表示されるプロフィール内容と完成度を確認する</x:v>
      </x:c>
      <x:c r="G21" s="30" t="str">
        <x:v>ページ</x:v>
      </x:c>
      <x:c r="H21" s="30" t="str">
        <x:v>/mypage/profile</x:v>
      </x:c>
      <x:c r="I21" s="30" t="str">
        <x:v>必要</x:v>
      </x:c>
      <x:c r="J21" s="30" t="str">
        <x:v>44,45,46,47,48,49,50</x:v>
      </x:c>
      <x:c r="K21" s="30" t="str">
        <x:v>〇</x:v>
      </x:c>
      <x:c r="L21" s="30" t="str">
        <x:v>第1段階</x:v>
      </x:c>
      <x:c r="M21" s="30" t="str">
        <x:v>無料</x:v>
      </x:c>
      <x:c r="N21" s="30" t="str">
        <x:v>最優先</x:v>
      </x:c>
      <x:c r="O21" s="30" t="str">
        <x:v>PC・スマホ</x:v>
      </x:c>
      <x:c r="P21" s="30" t="str">
        <x:v>未着手</x:v>
      </x:c>
      <x:c r="Q21" s="30" t="str"/>
      <x:c r="R21" s="79" t="str">
        <x:v>RT-0025</x:v>
      </x:c>
      <x:c r="S21" s="80" t="str">
        <x:v>UserProfileController</x:v>
      </x:c>
      <x:c r="T21" s="81" t="str">
        <x:v>mypage/profile</x:v>
      </x:c>
    </x:row>
    <x:row r="22" ht="34" customHeight="1">
      <x:c r="A22" s="30" t="n">
        <x:v>19</x:v>
      </x:c>
      <x:c r="B22" s="30" t="str">
        <x:v>SC-US-003</x:v>
      </x:c>
      <x:c r="C22" s="30" t="str">
        <x:v>ユーザー</x:v>
      </x:c>
      <x:c r="D22" s="30" t="str">
        <x:v>プロフィール</x:v>
      </x:c>
      <x:c r="E22" s="30" t="str">
        <x:v>基本プロフィール編集</x:v>
      </x:c>
      <x:c r="F22" s="30" t="str">
        <x:v>氏名、表示名、地域、自己紹介などを編集する</x:v>
      </x:c>
      <x:c r="G22" s="30" t="str">
        <x:v>ページ</x:v>
      </x:c>
      <x:c r="H22" s="30" t="str">
        <x:v>/mypage/profile/basic</x:v>
      </x:c>
      <x:c r="I22" s="30" t="str">
        <x:v>必要</x:v>
      </x:c>
      <x:c r="J22" s="30" t="str">
        <x:v>44</x:v>
      </x:c>
      <x:c r="K22" s="30" t="str">
        <x:v>〇</x:v>
      </x:c>
      <x:c r="L22" s="30" t="str">
        <x:v>第1段階</x:v>
      </x:c>
      <x:c r="M22" s="30" t="str">
        <x:v>無料</x:v>
      </x:c>
      <x:c r="N22" s="30" t="str">
        <x:v>最優先</x:v>
      </x:c>
      <x:c r="O22" s="30" t="str">
        <x:v>PC・スマホ</x:v>
      </x:c>
      <x:c r="P22" s="30" t="str">
        <x:v>未着手</x:v>
      </x:c>
      <x:c r="Q22" s="30" t="str"/>
      <x:c r="R22" s="79" t="str">
        <x:v>RT-0026</x:v>
      </x:c>
      <x:c r="S22" s="80" t="str">
        <x:v>UserProfileController</x:v>
      </x:c>
      <x:c r="T22" s="81" t="str">
        <x:v>mypage/profile/basic</x:v>
      </x:c>
    </x:row>
    <x:row r="23" ht="34" customHeight="1">
      <x:c r="A23" s="30" t="n">
        <x:v>20</x:v>
      </x:c>
      <x:c r="B23" s="30" t="str">
        <x:v>SC-US-004</x:v>
      </x:c>
      <x:c r="C23" s="30" t="str">
        <x:v>ユーザー</x:v>
      </x:c>
      <x:c r="D23" s="30" t="str">
        <x:v>プロフィール</x:v>
      </x:c>
      <x:c r="E23" s="30" t="str">
        <x:v>職歴一覧・編集</x:v>
      </x:c>
      <x:c r="F23" s="30" t="str">
        <x:v>職歴の追加、編集、削除、並び替えを行う</x:v>
      </x:c>
      <x:c r="G23" s="30" t="str">
        <x:v>ページ</x:v>
      </x:c>
      <x:c r="H23" s="30" t="str">
        <x:v>/mypage/profile/careers</x:v>
      </x:c>
      <x:c r="I23" s="30" t="str">
        <x:v>必要</x:v>
      </x:c>
      <x:c r="J23" s="30" t="str">
        <x:v>45</x:v>
      </x:c>
      <x:c r="K23" s="30" t="str">
        <x:v>〇</x:v>
      </x:c>
      <x:c r="L23" s="30" t="str">
        <x:v>第1段階</x:v>
      </x:c>
      <x:c r="M23" s="30" t="str">
        <x:v>無料</x:v>
      </x:c>
      <x:c r="N23" s="30" t="str">
        <x:v>高</x:v>
      </x:c>
      <x:c r="O23" s="30" t="str">
        <x:v>PC・スマホ</x:v>
      </x:c>
      <x:c r="P23" s="30" t="str">
        <x:v>未着手</x:v>
      </x:c>
      <x:c r="Q23" s="30" t="str"/>
      <x:c r="R23" s="79" t="str">
        <x:v>RT-0028</x:v>
      </x:c>
      <x:c r="S23" s="80" t="str">
        <x:v>UserProfileController</x:v>
      </x:c>
      <x:c r="T23" s="81" t="str">
        <x:v>mypage/profile/careers</x:v>
      </x:c>
    </x:row>
    <x:row r="24" ht="34" customHeight="1">
      <x:c r="A24" s="30" t="n">
        <x:v>21</x:v>
      </x:c>
      <x:c r="B24" s="30" t="str">
        <x:v>SC-US-005</x:v>
      </x:c>
      <x:c r="C24" s="30" t="str">
        <x:v>ユーザー</x:v>
      </x:c>
      <x:c r="D24" s="30" t="str">
        <x:v>プロフィール</x:v>
      </x:c>
      <x:c r="E24" s="30" t="str">
        <x:v>学歴一覧・編集</x:v>
      </x:c>
      <x:c r="F24" s="30" t="str">
        <x:v>学歴の追加、編集、削除を行う</x:v>
      </x:c>
      <x:c r="G24" s="30" t="str">
        <x:v>ページ</x:v>
      </x:c>
      <x:c r="H24" s="30" t="str">
        <x:v>/mypage/profile/education</x:v>
      </x:c>
      <x:c r="I24" s="30" t="str">
        <x:v>必要</x:v>
      </x:c>
      <x:c r="J24" s="30" t="str">
        <x:v>46</x:v>
      </x:c>
      <x:c r="K24" s="30" t="str">
        <x:v>〇</x:v>
      </x:c>
      <x:c r="L24" s="30" t="str">
        <x:v>第1段階</x:v>
      </x:c>
      <x:c r="M24" s="30" t="str">
        <x:v>無料</x:v>
      </x:c>
      <x:c r="N24" s="30" t="str">
        <x:v>中</x:v>
      </x:c>
      <x:c r="O24" s="30" t="str">
        <x:v>PC・スマホ</x:v>
      </x:c>
      <x:c r="P24" s="30" t="str">
        <x:v>未着手</x:v>
      </x:c>
      <x:c r="Q24" s="30" t="str"/>
      <x:c r="R24" s="79" t="str">
        <x:v>RT-0030</x:v>
      </x:c>
      <x:c r="S24" s="80" t="str">
        <x:v>UserProfileController</x:v>
      </x:c>
      <x:c r="T24" s="81" t="str">
        <x:v>mypage/profile/education</x:v>
      </x:c>
    </x:row>
    <x:row r="25" ht="34" customHeight="1">
      <x:c r="A25" s="30" t="n">
        <x:v>22</x:v>
      </x:c>
      <x:c r="B25" s="30" t="str">
        <x:v>SC-US-006</x:v>
      </x:c>
      <x:c r="C25" s="30" t="str">
        <x:v>ユーザー</x:v>
      </x:c>
      <x:c r="D25" s="30" t="str">
        <x:v>プロフィール</x:v>
      </x:c>
      <x:c r="E25" s="30" t="str">
        <x:v>資格・スキル編集</x:v>
      </x:c>
      <x:c r="F25" s="30" t="str">
        <x:v>資格、技術、経験年数、習熟度を登録する</x:v>
      </x:c>
      <x:c r="G25" s="30" t="str">
        <x:v>ページ</x:v>
      </x:c>
      <x:c r="H25" s="30" t="str">
        <x:v>/mypage/profile/skills</x:v>
      </x:c>
      <x:c r="I25" s="30" t="str">
        <x:v>必要</x:v>
      </x:c>
      <x:c r="J25" s="30" t="str">
        <x:v>47</x:v>
      </x:c>
      <x:c r="K25" s="30" t="str">
        <x:v>〇</x:v>
      </x:c>
      <x:c r="L25" s="30" t="str">
        <x:v>第1段階</x:v>
      </x:c>
      <x:c r="M25" s="30" t="str">
        <x:v>無料</x:v>
      </x:c>
      <x:c r="N25" s="30" t="str">
        <x:v>高</x:v>
      </x:c>
      <x:c r="O25" s="30" t="str">
        <x:v>PC・スマホ</x:v>
      </x:c>
      <x:c r="P25" s="30" t="str">
        <x:v>未着手</x:v>
      </x:c>
      <x:c r="Q25" s="30" t="str"/>
      <x:c r="R25" s="79" t="str">
        <x:v>RT-0032</x:v>
      </x:c>
      <x:c r="S25" s="80" t="str">
        <x:v>UserProfileController</x:v>
      </x:c>
      <x:c r="T25" s="81" t="str">
        <x:v>mypage/profile/skills</x:v>
      </x:c>
    </x:row>
    <x:row r="26" ht="34" customHeight="1">
      <x:c r="A26" s="30" t="n">
        <x:v>23</x:v>
      </x:c>
      <x:c r="B26" s="30" t="str">
        <x:v>SC-US-007</x:v>
      </x:c>
      <x:c r="C26" s="30" t="str">
        <x:v>ユーザー</x:v>
      </x:c>
      <x:c r="D26" s="30" t="str">
        <x:v>プロフィール</x:v>
      </x:c>
      <x:c r="E26" s="30" t="str">
        <x:v>希望条件編集</x:v>
      </x:c>
      <x:c r="F26" s="30" t="str">
        <x:v>希望職種、勤務地、雇用形態、報酬、時間帯を登録する</x:v>
      </x:c>
      <x:c r="G26" s="30" t="str">
        <x:v>ページ</x:v>
      </x:c>
      <x:c r="H26" s="30" t="str">
        <x:v>/mypage/profile/preferences</x:v>
      </x:c>
      <x:c r="I26" s="30" t="str">
        <x:v>必要</x:v>
      </x:c>
      <x:c r="J26" s="30" t="str">
        <x:v>48</x:v>
      </x:c>
      <x:c r="K26" s="30" t="str">
        <x:v>〇</x:v>
      </x:c>
      <x:c r="L26" s="30" t="str">
        <x:v>第1段階</x:v>
      </x:c>
      <x:c r="M26" s="30" t="str">
        <x:v>無料</x:v>
      </x:c>
      <x:c r="N26" s="30" t="str">
        <x:v>高</x:v>
      </x:c>
      <x:c r="O26" s="30" t="str">
        <x:v>PC・スマホ</x:v>
      </x:c>
      <x:c r="P26" s="30" t="str">
        <x:v>未着手</x:v>
      </x:c>
      <x:c r="Q26" s="30" t="str"/>
      <x:c r="R26" s="79" t="str">
        <x:v>RT-0034</x:v>
      </x:c>
      <x:c r="S26" s="80" t="str">
        <x:v>UserProfileController</x:v>
      </x:c>
      <x:c r="T26" s="81" t="str">
        <x:v>mypage/profile/preferences</x:v>
      </x:c>
    </x:row>
    <x:row r="27" ht="34" customHeight="1">
      <x:c r="A27" s="30" t="n">
        <x:v>24</x:v>
      </x:c>
      <x:c r="B27" s="30" t="str">
        <x:v>SC-US-008</x:v>
      </x:c>
      <x:c r="C27" s="30" t="str">
        <x:v>ユーザー</x:v>
      </x:c>
      <x:c r="D27" s="30" t="str">
        <x:v>プロフィール</x:v>
      </x:c>
      <x:c r="E27" s="30" t="str">
        <x:v>履歴書・職務経歴書管理</x:v>
      </x:c>
      <x:c r="F27" s="30" t="str">
        <x:v>書類の作成、アップロード、差し替え、削除を行う</x:v>
      </x:c>
      <x:c r="G27" s="30" t="str">
        <x:v>ページ</x:v>
      </x:c>
      <x:c r="H27" s="30" t="str">
        <x:v>/mypage/profile/documents</x:v>
      </x:c>
      <x:c r="I27" s="30" t="str">
        <x:v>必要</x:v>
      </x:c>
      <x:c r="J27" s="30" t="str">
        <x:v>49</x:v>
      </x:c>
      <x:c r="K27" s="30" t="str">
        <x:v>△</x:v>
      </x:c>
      <x:c r="L27" s="30" t="str">
        <x:v>第2段階</x:v>
      </x:c>
      <x:c r="M27" s="30" t="str">
        <x:v>無料</x:v>
      </x:c>
      <x:c r="N27" s="30" t="str">
        <x:v>高</x:v>
      </x:c>
      <x:c r="O27" s="30" t="str">
        <x:v>PC・スマホ</x:v>
      </x:c>
      <x:c r="P27" s="30" t="str">
        <x:v>未着手</x:v>
      </x:c>
      <x:c r="Q27" s="30" t="str"/>
      <x:c r="R27" s="79" t="str">
        <x:v>RT-0036</x:v>
      </x:c>
      <x:c r="S27" s="80" t="str">
        <x:v>UserProfileController</x:v>
      </x:c>
      <x:c r="T27" s="81" t="str">
        <x:v>mypage/profile/documents</x:v>
      </x:c>
    </x:row>
    <x:row r="28" ht="34" customHeight="1">
      <x:c r="A28" s="30" t="n">
        <x:v>25</x:v>
      </x:c>
      <x:c r="B28" s="30" t="str">
        <x:v>SC-US-009</x:v>
      </x:c>
      <x:c r="C28" s="30" t="str">
        <x:v>ユーザー</x:v>
      </x:c>
      <x:c r="D28" s="30" t="str">
        <x:v>プロフィール</x:v>
      </x:c>
      <x:c r="E28" s="30" t="str">
        <x:v>プロフィール公開範囲設定</x:v>
      </x:c>
      <x:c r="F28" s="30" t="str">
        <x:v>企業へ公開するプロフィール項目を設定する</x:v>
      </x:c>
      <x:c r="G28" s="30" t="str">
        <x:v>ページ</x:v>
      </x:c>
      <x:c r="H28" s="30" t="str">
        <x:v>/mypage/profile/privacy</x:v>
      </x:c>
      <x:c r="I28" s="30" t="str">
        <x:v>必要</x:v>
      </x:c>
      <x:c r="J28" s="30" t="str">
        <x:v>50</x:v>
      </x:c>
      <x:c r="K28" s="30" t="str">
        <x:v>△</x:v>
      </x:c>
      <x:c r="L28" s="30" t="str">
        <x:v>第2段階</x:v>
      </x:c>
      <x:c r="M28" s="30" t="str">
        <x:v>無料</x:v>
      </x:c>
      <x:c r="N28" s="30" t="str">
        <x:v>中</x:v>
      </x:c>
      <x:c r="O28" s="30" t="str">
        <x:v>PC・スマホ</x:v>
      </x:c>
      <x:c r="P28" s="30" t="str">
        <x:v>未着手</x:v>
      </x:c>
      <x:c r="Q28" s="30" t="str"/>
      <x:c r="R28" s="79" t="str">
        <x:v>RT-0038</x:v>
      </x:c>
      <x:c r="S28" s="80" t="str">
        <x:v>UserProfileController</x:v>
      </x:c>
      <x:c r="T28" s="81" t="str">
        <x:v>mypage/profile/privacy</x:v>
      </x:c>
    </x:row>
    <x:row r="29" ht="34" customHeight="1">
      <x:c r="A29" s="30" t="n">
        <x:v>26</x:v>
      </x:c>
      <x:c r="B29" s="30" t="str">
        <x:v>SC-US-010</x:v>
      </x:c>
      <x:c r="C29" s="30" t="str">
        <x:v>ユーザー</x:v>
      </x:c>
      <x:c r="D29" s="30" t="str">
        <x:v>応募</x:v>
      </x:c>
      <x:c r="E29" s="30" t="str">
        <x:v>求人応募確認</x:v>
      </x:c>
      <x:c r="F29" s="30" t="str">
        <x:v>応募に使用するプロフィールと書類、企業へのメッセージを確認する</x:v>
      </x:c>
      <x:c r="G29" s="30" t="str">
        <x:v>ページ</x:v>
      </x:c>
      <x:c r="H29" s="30" t="str">
        <x:v>/jobs/{jobId}/apply</x:v>
      </x:c>
      <x:c r="I29" s="30" t="str">
        <x:v>必要</x:v>
      </x:c>
      <x:c r="J29" s="30" t="str">
        <x:v>51</x:v>
      </x:c>
      <x:c r="K29" s="30" t="str">
        <x:v>〇</x:v>
      </x:c>
      <x:c r="L29" s="30" t="str">
        <x:v>第1段階</x:v>
      </x:c>
      <x:c r="M29" s="30" t="str">
        <x:v>無料</x:v>
      </x:c>
      <x:c r="N29" s="30" t="str">
        <x:v>最優先</x:v>
      </x:c>
      <x:c r="O29" s="30" t="str">
        <x:v>PC・スマホ</x:v>
      </x:c>
      <x:c r="P29" s="30" t="str">
        <x:v>未着手</x:v>
      </x:c>
      <x:c r="Q29" s="30" t="str"/>
      <x:c r="R29" s="79" t="str">
        <x:v>RT-0040</x:v>
      </x:c>
      <x:c r="S29" s="80" t="str">
        <x:v>PublicJobController</x:v>
      </x:c>
      <x:c r="T29" s="81" t="str">
        <x:v>public/jobs/apply</x:v>
      </x:c>
    </x:row>
    <x:row r="30" ht="34" customHeight="1">
      <x:c r="A30" s="30" t="n">
        <x:v>27</x:v>
      </x:c>
      <x:c r="B30" s="30" t="str">
        <x:v>SC-US-011</x:v>
      </x:c>
      <x:c r="C30" s="30" t="str">
        <x:v>ユーザー</x:v>
      </x:c>
      <x:c r="D30" s="30" t="str">
        <x:v>応募</x:v>
      </x:c>
      <x:c r="E30" s="30" t="str">
        <x:v>応募完了</x:v>
      </x:c>
      <x:c r="F30" s="30" t="str">
        <x:v>応募完了と応募チャット作成を案内する</x:v>
      </x:c>
      <x:c r="G30" s="30" t="str">
        <x:v>ページ</x:v>
      </x:c>
      <x:c r="H30" s="30" t="str">
        <x:v>/jobs/{jobId}/apply/complete</x:v>
      </x:c>
      <x:c r="I30" s="30" t="str">
        <x:v>必要</x:v>
      </x:c>
      <x:c r="J30" s="30" t="str">
        <x:v>51,68</x:v>
      </x:c>
      <x:c r="K30" s="30" t="str">
        <x:v>〇</x:v>
      </x:c>
      <x:c r="L30" s="30" t="str">
        <x:v>第1段階</x:v>
      </x:c>
      <x:c r="M30" s="30" t="str">
        <x:v>無料</x:v>
      </x:c>
      <x:c r="N30" s="30" t="str">
        <x:v>最優先</x:v>
      </x:c>
      <x:c r="O30" s="30" t="str">
        <x:v>PC・スマホ</x:v>
      </x:c>
      <x:c r="P30" s="30" t="str">
        <x:v>未着手</x:v>
      </x:c>
      <x:c r="Q30" s="30" t="str"/>
      <x:c r="R30" s="79" t="str">
        <x:v>RT-0042</x:v>
      </x:c>
      <x:c r="S30" s="80" t="str">
        <x:v>PublicJobController</x:v>
      </x:c>
      <x:c r="T30" s="81" t="str">
        <x:v>public/jobs/apply/complete</x:v>
      </x:c>
    </x:row>
    <x:row r="31" ht="34" customHeight="1">
      <x:c r="A31" s="30" t="n">
        <x:v>28</x:v>
      </x:c>
      <x:c r="B31" s="30" t="str">
        <x:v>SC-US-012</x:v>
      </x:c>
      <x:c r="C31" s="30" t="str">
        <x:v>ユーザー</x:v>
      </x:c>
      <x:c r="D31" s="30" t="str">
        <x:v>応募</x:v>
      </x:c>
      <x:c r="E31" s="30" t="str">
        <x:v>応募履歴一覧</x:v>
      </x:c>
      <x:c r="F31" s="30" t="str">
        <x:v>応募求人、企業、応募日、選考状況を一覧表示する</x:v>
      </x:c>
      <x:c r="G31" s="30" t="str">
        <x:v>ページ</x:v>
      </x:c>
      <x:c r="H31" s="30" t="str">
        <x:v>/mypage/applications</x:v>
      </x:c>
      <x:c r="I31" s="30" t="str">
        <x:v>必要</x:v>
      </x:c>
      <x:c r="J31" s="30" t="str">
        <x:v>52</x:v>
      </x:c>
      <x:c r="K31" s="30" t="str">
        <x:v>〇</x:v>
      </x:c>
      <x:c r="L31" s="30" t="str">
        <x:v>第1段階</x:v>
      </x:c>
      <x:c r="M31" s="30" t="str">
        <x:v>無料</x:v>
      </x:c>
      <x:c r="N31" s="30" t="str">
        <x:v>高</x:v>
      </x:c>
      <x:c r="O31" s="30" t="str">
        <x:v>PC・スマホ</x:v>
      </x:c>
      <x:c r="P31" s="30" t="str">
        <x:v>未着手</x:v>
      </x:c>
      <x:c r="Q31" s="30" t="str"/>
      <x:c r="R31" s="79" t="str">
        <x:v>RT-0043</x:v>
      </x:c>
      <x:c r="S31" s="80" t="str">
        <x:v>UserApplicationController</x:v>
      </x:c>
      <x:c r="T31" s="81" t="str">
        <x:v>mypage/applications</x:v>
      </x:c>
    </x:row>
    <x:row r="32" ht="34" customHeight="1">
      <x:c r="A32" s="30" t="n">
        <x:v>29</x:v>
      </x:c>
      <x:c r="B32" s="30" t="str">
        <x:v>SC-US-013</x:v>
      </x:c>
      <x:c r="C32" s="30" t="str">
        <x:v>ユーザー</x:v>
      </x:c>
      <x:c r="D32" s="30" t="str">
        <x:v>応募</x:v>
      </x:c>
      <x:c r="E32" s="30" t="str">
        <x:v>応募詳細</x:v>
      </x:c>
      <x:c r="F32" s="30" t="str">
        <x:v>応募内容、選考履歴、内定条件、チャット導線を表示する</x:v>
      </x:c>
      <x:c r="G32" s="30" t="str">
        <x:v>ページ</x:v>
      </x:c>
      <x:c r="H32" s="30" t="str">
        <x:v>/mypage/applications/{applicationId}</x:v>
      </x:c>
      <x:c r="I32" s="30" t="str">
        <x:v>必要</x:v>
      </x:c>
      <x:c r="J32" s="30" t="str">
        <x:v>52,53,54,68</x:v>
      </x:c>
      <x:c r="K32" s="30" t="str">
        <x:v>〇</x:v>
      </x:c>
      <x:c r="L32" s="30" t="str">
        <x:v>第1段階</x:v>
      </x:c>
      <x:c r="M32" s="30" t="str">
        <x:v>無料</x:v>
      </x:c>
      <x:c r="N32" s="30" t="str">
        <x:v>高</x:v>
      </x:c>
      <x:c r="O32" s="30" t="str">
        <x:v>PC・スマホ</x:v>
      </x:c>
      <x:c r="P32" s="30" t="str">
        <x:v>未着手</x:v>
      </x:c>
      <x:c r="Q32" s="30" t="str"/>
      <x:c r="R32" s="79" t="str">
        <x:v>RT-0044</x:v>
      </x:c>
      <x:c r="S32" s="80" t="str">
        <x:v>UserApplicationController</x:v>
      </x:c>
      <x:c r="T32" s="81" t="str">
        <x:v>mypage/applications/detail</x:v>
      </x:c>
    </x:row>
    <x:row r="33" ht="34" customHeight="1">
      <x:c r="A33" s="30" t="n">
        <x:v>30</x:v>
      </x:c>
      <x:c r="B33" s="30" t="str">
        <x:v>SC-US-014</x:v>
      </x:c>
      <x:c r="C33" s="30" t="str">
        <x:v>ユーザー</x:v>
      </x:c>
      <x:c r="D33" s="30" t="str">
        <x:v>応募</x:v>
      </x:c>
      <x:c r="E33" s="30" t="str">
        <x:v>応募辞退確認</x:v>
      </x:c>
      <x:c r="F33" s="30" t="str">
        <x:v>辞退理由を入力し、応募辞退を確定する</x:v>
      </x:c>
      <x:c r="G33" s="30" t="str">
        <x:v>ダイアログ</x:v>
      </x:c>
      <x:c r="H33" s="30" t="str">
        <x:v>/mypage/applications/{applicationId}/withdraw</x:v>
      </x:c>
      <x:c r="I33" s="30" t="str">
        <x:v>必要</x:v>
      </x:c>
      <x:c r="J33" s="30" t="str">
        <x:v>53</x:v>
      </x:c>
      <x:c r="K33" s="30" t="str">
        <x:v>〇</x:v>
      </x:c>
      <x:c r="L33" s="30" t="str">
        <x:v>第1段階</x:v>
      </x:c>
      <x:c r="M33" s="30" t="str">
        <x:v>無料</x:v>
      </x:c>
      <x:c r="N33" s="30" t="str">
        <x:v>高</x:v>
      </x:c>
      <x:c r="O33" s="30" t="str">
        <x:v>PC・スマホ</x:v>
      </x:c>
      <x:c r="P33" s="30" t="str">
        <x:v>未着手</x:v>
      </x:c>
      <x:c r="Q33" s="30" t="str"/>
      <x:c r="R33" s="79" t="str">
        <x:v>RT-0045</x:v>
      </x:c>
      <x:c r="S33" s="80" t="str">
        <x:v>UserApplicationController</x:v>
      </x:c>
      <x:c r="T33" s="81" t="str">
        <x:v>mypage/applications/withdraw</x:v>
      </x:c>
    </x:row>
    <x:row r="34" ht="34" customHeight="1">
      <x:c r="A34" s="30" t="n">
        <x:v>31</x:v>
      </x:c>
      <x:c r="B34" s="30" t="str">
        <x:v>SC-US-015</x:v>
      </x:c>
      <x:c r="C34" s="30" t="str">
        <x:v>ユーザー</x:v>
      </x:c>
      <x:c r="D34" s="30" t="str">
        <x:v>応募</x:v>
      </x:c>
      <x:c r="E34" s="30" t="str">
        <x:v>内定承諾・辞退</x:v>
      </x:c>
      <x:c r="F34" s="30" t="str">
        <x:v>企業から提示された内定条件を確認して回答する</x:v>
      </x:c>
      <x:c r="G34" s="30" t="str">
        <x:v>ページ</x:v>
      </x:c>
      <x:c r="H34" s="30" t="str">
        <x:v>/mypage/applications/{applicationId}/offer</x:v>
      </x:c>
      <x:c r="I34" s="30" t="str">
        <x:v>必要</x:v>
      </x:c>
      <x:c r="J34" s="30" t="str">
        <x:v>54</x:v>
      </x:c>
      <x:c r="K34" s="30" t="str">
        <x:v>△</x:v>
      </x:c>
      <x:c r="L34" s="30" t="str">
        <x:v>第2段階</x:v>
      </x:c>
      <x:c r="M34" s="30" t="str">
        <x:v>無料</x:v>
      </x:c>
      <x:c r="N34" s="30" t="str">
        <x:v>高</x:v>
      </x:c>
      <x:c r="O34" s="30" t="str">
        <x:v>PC・スマホ</x:v>
      </x:c>
      <x:c r="P34" s="30" t="str">
        <x:v>未着手</x:v>
      </x:c>
      <x:c r="Q34" s="30" t="str"/>
      <x:c r="R34" s="79" t="str">
        <x:v>RT-0047</x:v>
      </x:c>
      <x:c r="S34" s="80" t="str">
        <x:v>UserApplicationController</x:v>
      </x:c>
      <x:c r="T34" s="81" t="str">
        <x:v>mypage/applications/offer</x:v>
      </x:c>
    </x:row>
    <x:row r="35" ht="34" customHeight="1">
      <x:c r="A35" s="30" t="n">
        <x:v>32</x:v>
      </x:c>
      <x:c r="B35" s="30" t="str">
        <x:v>SC-US-016</x:v>
      </x:c>
      <x:c r="C35" s="30" t="str">
        <x:v>ユーザー</x:v>
      </x:c>
      <x:c r="D35" s="30" t="str">
        <x:v>お気に入り</x:v>
      </x:c>
      <x:c r="E35" s="30" t="str">
        <x:v>お気に入り求人一覧</x:v>
      </x:c>
      <x:c r="F35" s="30" t="str">
        <x:v>保存した求人を一覧表示し、比較・削除する</x:v>
      </x:c>
      <x:c r="G35" s="30" t="str">
        <x:v>ページ</x:v>
      </x:c>
      <x:c r="H35" s="30" t="str">
        <x:v>/mypage/favorites/jobs</x:v>
      </x:c>
      <x:c r="I35" s="30" t="str">
        <x:v>必要</x:v>
      </x:c>
      <x:c r="J35" s="30" t="str">
        <x:v>55</x:v>
      </x:c>
      <x:c r="K35" s="30" t="str">
        <x:v>〇</x:v>
      </x:c>
      <x:c r="L35" s="30" t="str">
        <x:v>第1段階</x:v>
      </x:c>
      <x:c r="M35" s="30" t="str">
        <x:v>無料</x:v>
      </x:c>
      <x:c r="N35" s="30" t="str">
        <x:v>中</x:v>
      </x:c>
      <x:c r="O35" s="30" t="str">
        <x:v>PC・スマホ</x:v>
      </x:c>
      <x:c r="P35" s="30" t="str">
        <x:v>未着手</x:v>
      </x:c>
      <x:c r="Q35" s="30" t="str"/>
      <x:c r="R35" s="79" t="str">
        <x:v>RT-0049</x:v>
      </x:c>
      <x:c r="S35" s="80" t="str">
        <x:v>UserFavoriteController</x:v>
      </x:c>
      <x:c r="T35" s="81" t="str">
        <x:v>mypage/favorites/jobs</x:v>
      </x:c>
    </x:row>
    <x:row r="36" ht="34" customHeight="1">
      <x:c r="A36" s="30" t="n">
        <x:v>33</x:v>
      </x:c>
      <x:c r="B36" s="30" t="str">
        <x:v>SC-US-017</x:v>
      </x:c>
      <x:c r="C36" s="30" t="str">
        <x:v>ユーザー</x:v>
      </x:c>
      <x:c r="D36" s="30" t="str">
        <x:v>お気に入り</x:v>
      </x:c>
      <x:c r="E36" s="30" t="str">
        <x:v>お気に入り企業一覧</x:v>
      </x:c>
      <x:c r="F36" s="30" t="str">
        <x:v>保存した企業を一覧表示する</x:v>
      </x:c>
      <x:c r="G36" s="30" t="str">
        <x:v>ページ</x:v>
      </x:c>
      <x:c r="H36" s="30" t="str">
        <x:v>/mypage/favorites/companies</x:v>
      </x:c>
      <x:c r="I36" s="30" t="str">
        <x:v>必要</x:v>
      </x:c>
      <x:c r="J36" s="30" t="str">
        <x:v>56</x:v>
      </x:c>
      <x:c r="K36" s="30" t="str">
        <x:v>△</x:v>
      </x:c>
      <x:c r="L36" s="30" t="str">
        <x:v>第2段階</x:v>
      </x:c>
      <x:c r="M36" s="30" t="str">
        <x:v>無料</x:v>
      </x:c>
      <x:c r="N36" s="30" t="str">
        <x:v>低</x:v>
      </x:c>
      <x:c r="O36" s="30" t="str">
        <x:v>PC・スマホ</x:v>
      </x:c>
      <x:c r="P36" s="30" t="str">
        <x:v>未着手</x:v>
      </x:c>
      <x:c r="Q36" s="30" t="str"/>
      <x:c r="R36" s="79" t="str">
        <x:v>RT-0050</x:v>
      </x:c>
      <x:c r="S36" s="80" t="str">
        <x:v>UserFavoriteController</x:v>
      </x:c>
      <x:c r="T36" s="81" t="str">
        <x:v>mypage/favorites/companies</x:v>
      </x:c>
    </x:row>
    <x:row r="37" ht="34" customHeight="1">
      <x:c r="A37" s="30" t="n">
        <x:v>34</x:v>
      </x:c>
      <x:c r="B37" s="30" t="str">
        <x:v>SC-US-018</x:v>
      </x:c>
      <x:c r="C37" s="30" t="str">
        <x:v>ユーザー</x:v>
      </x:c>
      <x:c r="D37" s="30" t="str">
        <x:v>チャット</x:v>
      </x:c>
      <x:c r="E37" s="30" t="str">
        <x:v>チャット一覧</x:v>
      </x:c>
      <x:c r="F37" s="30" t="str">
        <x:v>応募チャットと企業問い合わせチャットを未読順に表示する</x:v>
      </x:c>
      <x:c r="G37" s="30" t="str">
        <x:v>ページ</x:v>
      </x:c>
      <x:c r="H37" s="30" t="str">
        <x:v>/mypage/chats</x:v>
      </x:c>
      <x:c r="I37" s="30" t="str">
        <x:v>必要</x:v>
      </x:c>
      <x:c r="J37" s="30" t="str">
        <x:v>68,69,71</x:v>
      </x:c>
      <x:c r="K37" s="30" t="str">
        <x:v>〇</x:v>
      </x:c>
      <x:c r="L37" s="30" t="str">
        <x:v>第1段階</x:v>
      </x:c>
      <x:c r="M37" s="30" t="str">
        <x:v>無料</x:v>
      </x:c>
      <x:c r="N37" s="30" t="str">
        <x:v>最優先</x:v>
      </x:c>
      <x:c r="O37" s="30" t="str">
        <x:v>PC・スマホ</x:v>
      </x:c>
      <x:c r="P37" s="30" t="str">
        <x:v>未着手</x:v>
      </x:c>
      <x:c r="Q37" s="30" t="str"/>
      <x:c r="R37" s="79" t="str">
        <x:v>RT-0051</x:v>
      </x:c>
      <x:c r="S37" s="80" t="str">
        <x:v>UserChatController</x:v>
      </x:c>
      <x:c r="T37" s="81" t="str">
        <x:v>mypage/chats</x:v>
      </x:c>
    </x:row>
    <x:row r="38" ht="34" customHeight="1">
      <x:c r="A38" s="30" t="n">
        <x:v>35</x:v>
      </x:c>
      <x:c r="B38" s="30" t="str">
        <x:v>SC-US-019</x:v>
      </x:c>
      <x:c r="C38" s="30" t="str">
        <x:v>ユーザー</x:v>
      </x:c>
      <x:c r="D38" s="30" t="str">
        <x:v>チャット</x:v>
      </x:c>
      <x:c r="E38" s="30" t="str">
        <x:v>チャットルーム</x:v>
      </x:c>
      <x:c r="F38" s="30" t="str">
        <x:v>メッセージ送受信、既読、添付、ルーム終了状態を表示する</x:v>
      </x:c>
      <x:c r="G38" s="30" t="str">
        <x:v>ページ</x:v>
      </x:c>
      <x:c r="H38" s="30" t="str">
        <x:v>/mypage/chats/{roomId}</x:v>
      </x:c>
      <x:c r="I38" s="30" t="str">
        <x:v>必要</x:v>
      </x:c>
      <x:c r="J38" s="30" t="str">
        <x:v>70,71,72,73,74</x:v>
      </x:c>
      <x:c r="K38" s="30" t="str">
        <x:v>〇</x:v>
      </x:c>
      <x:c r="L38" s="30" t="str">
        <x:v>第1段階</x:v>
      </x:c>
      <x:c r="M38" s="30" t="str">
        <x:v>制限付き無料</x:v>
      </x:c>
      <x:c r="N38" s="30" t="str">
        <x:v>最優先</x:v>
      </x:c>
      <x:c r="O38" s="30" t="str">
        <x:v>PC・スマホ</x:v>
      </x:c>
      <x:c r="P38" s="30" t="str">
        <x:v>未着手</x:v>
      </x:c>
      <x:c r="Q38" s="30" t="str"/>
      <x:c r="R38" s="79" t="str">
        <x:v>RT-0052</x:v>
      </x:c>
      <x:c r="S38" s="80" t="str">
        <x:v>UserChatController</x:v>
      </x:c>
      <x:c r="T38" s="81" t="str">
        <x:v>mypage/chats/detail</x:v>
      </x:c>
    </x:row>
    <x:row r="39" ht="34" customHeight="1">
      <x:c r="A39" s="30" t="n">
        <x:v>36</x:v>
      </x:c>
      <x:c r="B39" s="30" t="str">
        <x:v>SC-US-020</x:v>
      </x:c>
      <x:c r="C39" s="30" t="str">
        <x:v>ユーザー</x:v>
      </x:c>
      <x:c r="D39" s="30" t="str">
        <x:v>チャット</x:v>
      </x:c>
      <x:c r="E39" s="30" t="str">
        <x:v>企業問い合わせ開始</x:v>
      </x:c>
      <x:c r="F39" s="30" t="str">
        <x:v>問い合わせ内容を入力して企業単位のチャットを開始する</x:v>
      </x:c>
      <x:c r="G39" s="30" t="str">
        <x:v>ダイアログ</x:v>
      </x:c>
      <x:c r="H39" s="30" t="str">
        <x:v>/companies/{companyId}/contact</x:v>
      </x:c>
      <x:c r="I39" s="30" t="str">
        <x:v>必要</x:v>
      </x:c>
      <x:c r="J39" s="30" t="str">
        <x:v>69</x:v>
      </x:c>
      <x:c r="K39" s="30" t="str">
        <x:v>〇</x:v>
      </x:c>
      <x:c r="L39" s="30" t="str">
        <x:v>第1段階</x:v>
      </x:c>
      <x:c r="M39" s="30" t="str">
        <x:v>無料</x:v>
      </x:c>
      <x:c r="N39" s="30" t="str">
        <x:v>高</x:v>
      </x:c>
      <x:c r="O39" s="30" t="str">
        <x:v>PC・スマホ</x:v>
      </x:c>
      <x:c r="P39" s="30" t="str">
        <x:v>未着手</x:v>
      </x:c>
      <x:c r="Q39" s="30" t="str"/>
      <x:c r="R39" s="79" t="str">
        <x:v>RT-0053</x:v>
      </x:c>
      <x:c r="S39" s="80" t="str">
        <x:v>PublicCompanyController</x:v>
      </x:c>
      <x:c r="T39" s="81" t="str">
        <x:v>public/companies/contact</x:v>
      </x:c>
    </x:row>
    <x:row r="40" ht="34" customHeight="1">
      <x:c r="A40" s="30" t="n">
        <x:v>37</x:v>
      </x:c>
      <x:c r="B40" s="30" t="str">
        <x:v>SC-US-021</x:v>
      </x:c>
      <x:c r="C40" s="30" t="str">
        <x:v>ユーザー</x:v>
      </x:c>
      <x:c r="D40" s="30" t="str">
        <x:v>評価</x:v>
      </x:c>
      <x:c r="E40" s="30" t="str">
        <x:v>評価対象一覧</x:v>
      </x:c>
      <x:c r="F40" s="30" t="str">
        <x:v>評価可能・期限間近・完了済みの企業を一覧表示する</x:v>
      </x:c>
      <x:c r="G40" s="30" t="str">
        <x:v>ページ</x:v>
      </x:c>
      <x:c r="H40" s="30" t="str">
        <x:v>/mypage/reviews</x:v>
      </x:c>
      <x:c r="I40" s="30" t="str">
        <x:v>必要</x:v>
      </x:c>
      <x:c r="J40" s="30" t="str">
        <x:v>57,59,76,77</x:v>
      </x:c>
      <x:c r="K40" s="30" t="str">
        <x:v>〇</x:v>
      </x:c>
      <x:c r="L40" s="30" t="str">
        <x:v>第1段階</x:v>
      </x:c>
      <x:c r="M40" s="30" t="str">
        <x:v>無料</x:v>
      </x:c>
      <x:c r="N40" s="30" t="str">
        <x:v>最優先</x:v>
      </x:c>
      <x:c r="O40" s="30" t="str">
        <x:v>PC・スマホ</x:v>
      </x:c>
      <x:c r="P40" s="30" t="str">
        <x:v>未着手</x:v>
      </x:c>
      <x:c r="Q40" s="30" t="str"/>
      <x:c r="R40" s="79" t="str">
        <x:v>RT-0055</x:v>
      </x:c>
      <x:c r="S40" s="80" t="str">
        <x:v>UserReviewController</x:v>
      </x:c>
      <x:c r="T40" s="81" t="str">
        <x:v>mypage/reviews</x:v>
      </x:c>
    </x:row>
    <x:row r="41" ht="34" customHeight="1">
      <x:c r="A41" s="30" t="n">
        <x:v>38</x:v>
      </x:c>
      <x:c r="B41" s="30" t="str">
        <x:v>SC-US-022</x:v>
      </x:c>
      <x:c r="C41" s="30" t="str">
        <x:v>ユーザー</x:v>
      </x:c>
      <x:c r="D41" s="30" t="str">
        <x:v>評価</x:v>
      </x:c>
      <x:c r="E41" s="30" t="str">
        <x:v>企業評価入力</x:v>
      </x:c>
      <x:c r="F41" s="30" t="str">
        <x:v>企業に対する項目別評価とコメントを入力・下書き保存する</x:v>
      </x:c>
      <x:c r="G41" s="30" t="str">
        <x:v>ページ</x:v>
      </x:c>
      <x:c r="H41" s="30" t="str">
        <x:v>/mypage/reviews/companies/{targetId}/edit</x:v>
      </x:c>
      <x:c r="I41" s="30" t="str">
        <x:v>必要</x:v>
      </x:c>
      <x:c r="J41" s="30" t="str">
        <x:v>57,58,59</x:v>
      </x:c>
      <x:c r="K41" s="30" t="str">
        <x:v>〇</x:v>
      </x:c>
      <x:c r="L41" s="30" t="str">
        <x:v>第1段階</x:v>
      </x:c>
      <x:c r="M41" s="30" t="str">
        <x:v>無料</x:v>
      </x:c>
      <x:c r="N41" s="30" t="str">
        <x:v>最優先</x:v>
      </x:c>
      <x:c r="O41" s="30" t="str">
        <x:v>PC・スマホ</x:v>
      </x:c>
      <x:c r="P41" s="30" t="str">
        <x:v>未着手</x:v>
      </x:c>
      <x:c r="Q41" s="30" t="str"/>
      <x:c r="R41" s="79" t="str">
        <x:v>RT-0056</x:v>
      </x:c>
      <x:c r="S41" s="80" t="str">
        <x:v>UserReviewController</x:v>
      </x:c>
      <x:c r="T41" s="81" t="str">
        <x:v>mypage/reviews/companies/form</x:v>
      </x:c>
    </x:row>
    <x:row r="42" ht="34" customHeight="1">
      <x:c r="A42" s="30" t="n">
        <x:v>39</x:v>
      </x:c>
      <x:c r="B42" s="30" t="str">
        <x:v>SC-US-023</x:v>
      </x:c>
      <x:c r="C42" s="30" t="str">
        <x:v>ユーザー</x:v>
      </x:c>
      <x:c r="D42" s="30" t="str">
        <x:v>評価</x:v>
      </x:c>
      <x:c r="E42" s="30" t="str">
        <x:v>企業評価確認</x:v>
      </x:c>
      <x:c r="F42" s="30" t="str">
        <x:v>投稿前に評価内容と公開ルールを確認する</x:v>
      </x:c>
      <x:c r="G42" s="30" t="str">
        <x:v>ページ</x:v>
      </x:c>
      <x:c r="H42" s="30" t="str">
        <x:v>/mypage/reviews/companies/{targetId}/confirm</x:v>
      </x:c>
      <x:c r="I42" s="30" t="str">
        <x:v>必要</x:v>
      </x:c>
      <x:c r="J42" s="30" t="str">
        <x:v>59,75</x:v>
      </x:c>
      <x:c r="K42" s="30" t="str">
        <x:v>〇</x:v>
      </x:c>
      <x:c r="L42" s="30" t="str">
        <x:v>第1段階</x:v>
      </x:c>
      <x:c r="M42" s="30" t="str">
        <x:v>無料</x:v>
      </x:c>
      <x:c r="N42" s="30" t="str">
        <x:v>高</x:v>
      </x:c>
      <x:c r="O42" s="30" t="str">
        <x:v>PC・スマホ</x:v>
      </x:c>
      <x:c r="P42" s="30" t="str">
        <x:v>未着手</x:v>
      </x:c>
      <x:c r="Q42" s="30" t="str"/>
      <x:c r="R42" s="79" t="str">
        <x:v>RT-0058</x:v>
      </x:c>
      <x:c r="S42" s="80" t="str">
        <x:v>UserReviewController</x:v>
      </x:c>
      <x:c r="T42" s="81" t="str">
        <x:v>mypage/reviews/companies/confirm</x:v>
      </x:c>
    </x:row>
    <x:row r="43" ht="34" customHeight="1">
      <x:c r="A43" s="30" t="n">
        <x:v>40</x:v>
      </x:c>
      <x:c r="B43" s="30" t="str">
        <x:v>SC-US-024</x:v>
      </x:c>
      <x:c r="C43" s="30" t="str">
        <x:v>ユーザー</x:v>
      </x:c>
      <x:c r="D43" s="30" t="str">
        <x:v>評価</x:v>
      </x:c>
      <x:c r="E43" s="30" t="str">
        <x:v>企業評価完了</x:v>
      </x:c>
      <x:c r="F43" s="30" t="str">
        <x:v>評価確定と双方同時公開の状態を表示する</x:v>
      </x:c>
      <x:c r="G43" s="30" t="str">
        <x:v>ページ</x:v>
      </x:c>
      <x:c r="H43" s="30" t="str">
        <x:v>/mypage/reviews/companies/{targetId}/complete</x:v>
      </x:c>
      <x:c r="I43" s="30" t="str">
        <x:v>必要</x:v>
      </x:c>
      <x:c r="J43" s="30" t="str">
        <x:v>59,75</x:v>
      </x:c>
      <x:c r="K43" s="30" t="str">
        <x:v>〇</x:v>
      </x:c>
      <x:c r="L43" s="30" t="str">
        <x:v>第1段階</x:v>
      </x:c>
      <x:c r="M43" s="30" t="str">
        <x:v>無料</x:v>
      </x:c>
      <x:c r="N43" s="30" t="str">
        <x:v>高</x:v>
      </x:c>
      <x:c r="O43" s="30" t="str">
        <x:v>PC・スマホ</x:v>
      </x:c>
      <x:c r="P43" s="30" t="str">
        <x:v>未着手</x:v>
      </x:c>
      <x:c r="Q43" s="30" t="str"/>
      <x:c r="R43" s="79" t="str">
        <x:v>RT-0060</x:v>
      </x:c>
      <x:c r="S43" s="80" t="str">
        <x:v>UserReviewController</x:v>
      </x:c>
      <x:c r="T43" s="81" t="str">
        <x:v>mypage/reviews/companies/complete</x:v>
      </x:c>
    </x:row>
    <x:row r="44" ht="34" customHeight="1">
      <x:c r="A44" s="30" t="n">
        <x:v>41</x:v>
      </x:c>
      <x:c r="B44" s="30" t="str">
        <x:v>SC-US-025</x:v>
      </x:c>
      <x:c r="C44" s="30" t="str">
        <x:v>ユーザー</x:v>
      </x:c>
      <x:c r="D44" s="30" t="str">
        <x:v>評価</x:v>
      </x:c>
      <x:c r="E44" s="30" t="str">
        <x:v>自分への評価一覧</x:v>
      </x:c>
      <x:c r="F44" s="30" t="str">
        <x:v>企業から受けた評価を公開範囲に従って表示する</x:v>
      </x:c>
      <x:c r="G44" s="30" t="str">
        <x:v>ページ</x:v>
      </x:c>
      <x:c r="H44" s="30" t="str">
        <x:v>/mypage/reviews/received</x:v>
      </x:c>
      <x:c r="I44" s="30" t="str">
        <x:v>必要</x:v>
      </x:c>
      <x:c r="J44" s="30" t="str">
        <x:v>60,75</x:v>
      </x:c>
      <x:c r="K44" s="30" t="str">
        <x:v>〇</x:v>
      </x:c>
      <x:c r="L44" s="30" t="str">
        <x:v>第1段階</x:v>
      </x:c>
      <x:c r="M44" s="30" t="str">
        <x:v>無料</x:v>
      </x:c>
      <x:c r="N44" s="30" t="str">
        <x:v>高</x:v>
      </x:c>
      <x:c r="O44" s="30" t="str">
        <x:v>PC・スマホ</x:v>
      </x:c>
      <x:c r="P44" s="30" t="str">
        <x:v>未着手</x:v>
      </x:c>
      <x:c r="Q44" s="30" t="str"/>
      <x:c r="R44" s="79" t="str">
        <x:v>RT-0061</x:v>
      </x:c>
      <x:c r="S44" s="80" t="str">
        <x:v>UserReviewController</x:v>
      </x:c>
      <x:c r="T44" s="81" t="str">
        <x:v>mypage/reviews/received</x:v>
      </x:c>
    </x:row>
    <x:row r="45" ht="34" customHeight="1">
      <x:c r="A45" s="30" t="n">
        <x:v>42</x:v>
      </x:c>
      <x:c r="B45" s="30" t="str">
        <x:v>SC-US-026</x:v>
      </x:c>
      <x:c r="C45" s="30" t="str">
        <x:v>ユーザー</x:v>
      </x:c>
      <x:c r="D45" s="30" t="str">
        <x:v>評価</x:v>
      </x:c>
      <x:c r="E45" s="30" t="str">
        <x:v>評価異議申立て・通報</x:v>
      </x:c>
      <x:c r="F45" s="30" t="str">
        <x:v>対象評価、理由、根拠資料を入力して運営へ申し立てる</x:v>
      </x:c>
      <x:c r="G45" s="30" t="str">
        <x:v>ページ</x:v>
      </x:c>
      <x:c r="H45" s="30" t="str">
        <x:v>/mypage/reviews/{reviewId}/appeal</x:v>
      </x:c>
      <x:c r="I45" s="30" t="str">
        <x:v>必要</x:v>
      </x:c>
      <x:c r="J45" s="30" t="str">
        <x:v>61,78</x:v>
      </x:c>
      <x:c r="K45" s="30" t="str">
        <x:v>△</x:v>
      </x:c>
      <x:c r="L45" s="30" t="str">
        <x:v>第2段階</x:v>
      </x:c>
      <x:c r="M45" s="30" t="str">
        <x:v>無料</x:v>
      </x:c>
      <x:c r="N45" s="30" t="str">
        <x:v>中</x:v>
      </x:c>
      <x:c r="O45" s="30" t="str">
        <x:v>PC・スマホ</x:v>
      </x:c>
      <x:c r="P45" s="30" t="str">
        <x:v>未着手</x:v>
      </x:c>
      <x:c r="Q45" s="30" t="str"/>
      <x:c r="R45" s="79" t="str">
        <x:v>RT-0062</x:v>
      </x:c>
      <x:c r="S45" s="80" t="str">
        <x:v>UserReviewController</x:v>
      </x:c>
      <x:c r="T45" s="81" t="str">
        <x:v>mypage/reviews/appeal</x:v>
      </x:c>
    </x:row>
    <x:row r="46" ht="34" customHeight="1">
      <x:c r="A46" s="30" t="n">
        <x:v>43</x:v>
      </x:c>
      <x:c r="B46" s="30" t="str">
        <x:v>SC-US-027</x:v>
      </x:c>
      <x:c r="C46" s="30" t="str">
        <x:v>ユーザー</x:v>
      </x:c>
      <x:c r="D46" s="30" t="str">
        <x:v>通知</x:v>
      </x:c>
      <x:c r="E46" s="30" t="str">
        <x:v>通知一覧</x:v>
      </x:c>
      <x:c r="F46" s="30" t="str">
        <x:v>応募、チャット、選考、評価、勤怠に関する通知を表示する</x:v>
      </x:c>
      <x:c r="G46" s="30" t="str">
        <x:v>ページ</x:v>
      </x:c>
      <x:c r="H46" s="30" t="str">
        <x:v>/mypage/notifications</x:v>
      </x:c>
      <x:c r="I46" s="30" t="str">
        <x:v>必要</x:v>
      </x:c>
      <x:c r="J46" s="30" t="str">
        <x:v>77,79,80</x:v>
      </x:c>
      <x:c r="K46" s="30" t="str">
        <x:v>〇</x:v>
      </x:c>
      <x:c r="L46" s="30" t="str">
        <x:v>第1段階</x:v>
      </x:c>
      <x:c r="M46" s="30" t="str">
        <x:v>無料</x:v>
      </x:c>
      <x:c r="N46" s="30" t="str">
        <x:v>高</x:v>
      </x:c>
      <x:c r="O46" s="30" t="str">
        <x:v>PC・スマホ</x:v>
      </x:c>
      <x:c r="P46" s="30" t="str">
        <x:v>未着手</x:v>
      </x:c>
      <x:c r="Q46" s="30" t="str"/>
      <x:c r="R46" s="79" t="str">
        <x:v>RT-0064</x:v>
      </x:c>
      <x:c r="S46" s="80" t="str">
        <x:v>UserNotificationController</x:v>
      </x:c>
      <x:c r="T46" s="81" t="str">
        <x:v>mypage/notifications</x:v>
      </x:c>
    </x:row>
    <x:row r="47" ht="34" customHeight="1">
      <x:c r="A47" s="30" t="n">
        <x:v>44</x:v>
      </x:c>
      <x:c r="B47" s="30" t="str">
        <x:v>SC-US-028</x:v>
      </x:c>
      <x:c r="C47" s="30" t="str">
        <x:v>ユーザー</x:v>
      </x:c>
      <x:c r="D47" s="30" t="str">
        <x:v>アカウント</x:v>
      </x:c>
      <x:c r="E47" s="30" t="str">
        <x:v>アカウント設定</x:v>
      </x:c>
      <x:c r="F47" s="30" t="str">
        <x:v>メール、パスワード、通知方法などを変更する</x:v>
      </x:c>
      <x:c r="G47" s="30" t="str">
        <x:v>ページ</x:v>
      </x:c>
      <x:c r="H47" s="30" t="str">
        <x:v>/mypage/settings</x:v>
      </x:c>
      <x:c r="I47" s="30" t="str">
        <x:v>必要</x:v>
      </x:c>
      <x:c r="J47" s="30" t="str">
        <x:v>43,80,81</x:v>
      </x:c>
      <x:c r="K47" s="30" t="str">
        <x:v>〇</x:v>
      </x:c>
      <x:c r="L47" s="30" t="str">
        <x:v>第1段階</x:v>
      </x:c>
      <x:c r="M47" s="30" t="str">
        <x:v>無料</x:v>
      </x:c>
      <x:c r="N47" s="30" t="str">
        <x:v>高</x:v>
      </x:c>
      <x:c r="O47" s="30" t="str">
        <x:v>PC・スマホ</x:v>
      </x:c>
      <x:c r="P47" s="30" t="str">
        <x:v>未着手</x:v>
      </x:c>
      <x:c r="Q47" s="30" t="str"/>
      <x:c r="R47" s="79" t="str">
        <x:v>RT-0065</x:v>
      </x:c>
      <x:c r="S47" s="80" t="str">
        <x:v>UserSettingsController</x:v>
      </x:c>
      <x:c r="T47" s="81" t="str">
        <x:v>mypage/settings</x:v>
      </x:c>
    </x:row>
    <x:row r="48" ht="34" customHeight="1">
      <x:c r="A48" s="30" t="n">
        <x:v>45</x:v>
      </x:c>
      <x:c r="B48" s="30" t="str">
        <x:v>SC-US-029</x:v>
      </x:c>
      <x:c r="C48" s="30" t="str">
        <x:v>ユーザー</x:v>
      </x:c>
      <x:c r="D48" s="30" t="str">
        <x:v>アカウント</x:v>
      </x:c>
      <x:c r="E48" s="30" t="str">
        <x:v>退会確認</x:v>
      </x:c>
      <x:c r="F48" s="30" t="str">
        <x:v>退会の影響とデータ保持方針を確認して申請する</x:v>
      </x:c>
      <x:c r="G48" s="30" t="str">
        <x:v>ページ</x:v>
      </x:c>
      <x:c r="H48" s="30" t="str">
        <x:v>/mypage/settings/withdrawal</x:v>
      </x:c>
      <x:c r="I48" s="30" t="str">
        <x:v>必要</x:v>
      </x:c>
      <x:c r="J48" s="30" t="str">
        <x:v>83</x:v>
      </x:c>
      <x:c r="K48" s="30" t="str">
        <x:v>〇</x:v>
      </x:c>
      <x:c r="L48" s="30" t="str">
        <x:v>第1段階</x:v>
      </x:c>
      <x:c r="M48" s="30" t="str">
        <x:v>無料</x:v>
      </x:c>
      <x:c r="N48" s="30" t="str">
        <x:v>高</x:v>
      </x:c>
      <x:c r="O48" s="30" t="str">
        <x:v>PC・スマホ</x:v>
      </x:c>
      <x:c r="P48" s="30" t="str">
        <x:v>未着手</x:v>
      </x:c>
      <x:c r="Q48" s="30" t="str"/>
      <x:c r="R48" s="79" t="str">
        <x:v>RT-0067</x:v>
      </x:c>
      <x:c r="S48" s="80" t="str">
        <x:v>UserSettingsController</x:v>
      </x:c>
      <x:c r="T48" s="81" t="str">
        <x:v>mypage/settings/withdrawal</x:v>
      </x:c>
    </x:row>
    <x:row r="49" ht="34" customHeight="1">
      <x:c r="A49" s="30" t="n">
        <x:v>46</x:v>
      </x:c>
      <x:c r="B49" s="30" t="str">
        <x:v>SC-US-030</x:v>
      </x:c>
      <x:c r="C49" s="30" t="str">
        <x:v>従業員</x:v>
      </x:c>
      <x:c r="D49" s="30" t="str">
        <x:v>勤怠</x:v>
      </x:c>
      <x:c r="E49" s="30" t="str">
        <x:v>打刻ホーム</x:v>
      </x:c>
      <x:c r="F49" s="30" t="str">
        <x:v>出勤、退勤、休憩の現在状態と当日の勤務予定を表示する</x:v>
      </x:c>
      <x:c r="G49" s="30" t="str">
        <x:v>ページ</x:v>
      </x:c>
      <x:c r="H49" s="30" t="str">
        <x:v>/mypage/attendance</x:v>
      </x:c>
      <x:c r="I49" s="30" t="str">
        <x:v>必要</x:v>
      </x:c>
      <x:c r="J49" s="30" t="str">
        <x:v>34,35</x:v>
      </x:c>
      <x:c r="K49" s="30" t="str">
        <x:v>×</x:v>
      </x:c>
      <x:c r="L49" s="30" t="str">
        <x:v>第4段階</x:v>
      </x:c>
      <x:c r="M49" s="30" t="str">
        <x:v>有料企業所属者</x:v>
      </x:c>
      <x:c r="N49" s="30" t="str">
        <x:v>高</x:v>
      </x:c>
      <x:c r="O49" s="30" t="str">
        <x:v>スマホ中心</x:v>
      </x:c>
      <x:c r="P49" s="30" t="str">
        <x:v>未着手</x:v>
      </x:c>
      <x:c r="Q49" s="30" t="str"/>
      <x:c r="R49" s="79" t="str">
        <x:v>RT-0069</x:v>
      </x:c>
      <x:c r="S49" s="80" t="str">
        <x:v>EmployeeAttendanceController</x:v>
      </x:c>
      <x:c r="T49" s="81" t="str">
        <x:v>mypage/attendance</x:v>
      </x:c>
    </x:row>
    <x:row r="50" ht="34" customHeight="1">
      <x:c r="A50" s="30" t="n">
        <x:v>47</x:v>
      </x:c>
      <x:c r="B50" s="30" t="str">
        <x:v>SC-US-031</x:v>
      </x:c>
      <x:c r="C50" s="30" t="str">
        <x:v>従業員</x:v>
      </x:c>
      <x:c r="D50" s="30" t="str">
        <x:v>勤怠</x:v>
      </x:c>
      <x:c r="E50" s="30" t="str">
        <x:v>自分の勤怠履歴</x:v>
      </x:c>
      <x:c r="F50" s="30" t="str">
        <x:v>日別・月別の打刻、休憩、申請状態を確認する</x:v>
      </x:c>
      <x:c r="G50" s="30" t="str">
        <x:v>ページ</x:v>
      </x:c>
      <x:c r="H50" s="30" t="str">
        <x:v>/mypage/attendance/history</x:v>
      </x:c>
      <x:c r="I50" s="30" t="str">
        <x:v>必要</x:v>
      </x:c>
      <x:c r="J50" s="30" t="str">
        <x:v>34,35,38,39</x:v>
      </x:c>
      <x:c r="K50" s="30" t="str">
        <x:v>×</x:v>
      </x:c>
      <x:c r="L50" s="30" t="str">
        <x:v>第4段階</x:v>
      </x:c>
      <x:c r="M50" s="30" t="str">
        <x:v>有料企業所属者</x:v>
      </x:c>
      <x:c r="N50" s="30" t="str">
        <x:v>高</x:v>
      </x:c>
      <x:c r="O50" s="30" t="str">
        <x:v>PC・スマホ</x:v>
      </x:c>
      <x:c r="P50" s="30" t="str">
        <x:v>未着手</x:v>
      </x:c>
      <x:c r="Q50" s="30" t="str"/>
      <x:c r="R50" s="79" t="str">
        <x:v>RT-0070</x:v>
      </x:c>
      <x:c r="S50" s="80" t="str">
        <x:v>EmployeeAttendanceController</x:v>
      </x:c>
      <x:c r="T50" s="81" t="str">
        <x:v>mypage/attendance/history</x:v>
      </x:c>
    </x:row>
    <x:row r="51" ht="34" customHeight="1">
      <x:c r="A51" s="30" t="n">
        <x:v>48</x:v>
      </x:c>
      <x:c r="B51" s="30" t="str">
        <x:v>SC-US-032</x:v>
      </x:c>
      <x:c r="C51" s="30" t="str">
        <x:v>従業員</x:v>
      </x:c>
      <x:c r="D51" s="30" t="str">
        <x:v>勤怠</x:v>
      </x:c>
      <x:c r="E51" s="30" t="str">
        <x:v>自分のシフト</x:v>
      </x:c>
      <x:c r="F51" s="30" t="str">
        <x:v>カレンダーで勤務予定を確認する</x:v>
      </x:c>
      <x:c r="G51" s="30" t="str">
        <x:v>ページ</x:v>
      </x:c>
      <x:c r="H51" s="30" t="str">
        <x:v>/mypage/shifts</x:v>
      </x:c>
      <x:c r="I51" s="30" t="str">
        <x:v>必要</x:v>
      </x:c>
      <x:c r="J51" s="30" t="str">
        <x:v>36</x:v>
      </x:c>
      <x:c r="K51" s="30" t="str">
        <x:v>×</x:v>
      </x:c>
      <x:c r="L51" s="30" t="str">
        <x:v>第4段階</x:v>
      </x:c>
      <x:c r="M51" s="30" t="str">
        <x:v>有料企業所属者</x:v>
      </x:c>
      <x:c r="N51" s="30" t="str">
        <x:v>中</x:v>
      </x:c>
      <x:c r="O51" s="30" t="str">
        <x:v>PC・スマホ</x:v>
      </x:c>
      <x:c r="P51" s="30" t="str">
        <x:v>未着手</x:v>
      </x:c>
      <x:c r="Q51" s="30" t="str"/>
      <x:c r="R51" s="79" t="str">
        <x:v>RT-0071</x:v>
      </x:c>
      <x:c r="S51" s="80" t="str">
        <x:v>EmployeeShiftController</x:v>
      </x:c>
      <x:c r="T51" s="81" t="str">
        <x:v>mypage/shifts</x:v>
      </x:c>
    </x:row>
    <x:row r="52" ht="34" customHeight="1">
      <x:c r="A52" s="30" t="n">
        <x:v>49</x:v>
      </x:c>
      <x:c r="B52" s="30" t="str">
        <x:v>SC-US-033</x:v>
      </x:c>
      <x:c r="C52" s="30" t="str">
        <x:v>従業員</x:v>
      </x:c>
      <x:c r="D52" s="30" t="str">
        <x:v>勤怠</x:v>
      </x:c>
      <x:c r="E52" s="30" t="str">
        <x:v>休暇申請</x:v>
      </x:c>
      <x:c r="F52" s="30" t="str">
        <x:v>休暇種別、期間、理由を入力して申請する</x:v>
      </x:c>
      <x:c r="G52" s="30" t="str">
        <x:v>ページ</x:v>
      </x:c>
      <x:c r="H52" s="30" t="str">
        <x:v>/mypage/leave-requests/new</x:v>
      </x:c>
      <x:c r="I52" s="30" t="str">
        <x:v>必要</x:v>
      </x:c>
      <x:c r="J52" s="30" t="str">
        <x:v>37</x:v>
      </x:c>
      <x:c r="K52" s="30" t="str">
        <x:v>×</x:v>
      </x:c>
      <x:c r="L52" s="30" t="str">
        <x:v>第4段階</x:v>
      </x:c>
      <x:c r="M52" s="30" t="str">
        <x:v>有料企業所属者</x:v>
      </x:c>
      <x:c r="N52" s="30" t="str">
        <x:v>中</x:v>
      </x:c>
      <x:c r="O52" s="30" t="str">
        <x:v>PC・スマホ</x:v>
      </x:c>
      <x:c r="P52" s="30" t="str">
        <x:v>未着手</x:v>
      </x:c>
      <x:c r="Q52" s="30" t="str"/>
      <x:c r="R52" s="79" t="str">
        <x:v>RT-0072</x:v>
      </x:c>
      <x:c r="S52" s="80" t="str">
        <x:v>EmployeeLeaveRequestController</x:v>
      </x:c>
      <x:c r="T52" s="81" t="str">
        <x:v>mypage/leave-requests/form</x:v>
      </x:c>
    </x:row>
    <x:row r="53" ht="34" customHeight="1">
      <x:c r="A53" s="30" t="n">
        <x:v>50</x:v>
      </x:c>
      <x:c r="B53" s="30" t="str">
        <x:v>SC-US-034</x:v>
      </x:c>
      <x:c r="C53" s="30" t="str">
        <x:v>従業員</x:v>
      </x:c>
      <x:c r="D53" s="30" t="str">
        <x:v>勤怠</x:v>
      </x:c>
      <x:c r="E53" s="30" t="str">
        <x:v>勤怠修正申請</x:v>
      </x:c>
      <x:c r="F53" s="30" t="str">
        <x:v>打刻漏れや誤打刻の修正内容を申請する</x:v>
      </x:c>
      <x:c r="G53" s="30" t="str">
        <x:v>ページ</x:v>
      </x:c>
      <x:c r="H53" s="30" t="str">
        <x:v>/mypage/attendance/corrections/new</x:v>
      </x:c>
      <x:c r="I53" s="30" t="str">
        <x:v>必要</x:v>
      </x:c>
      <x:c r="J53" s="30" t="str">
        <x:v>38</x:v>
      </x:c>
      <x:c r="K53" s="30" t="str">
        <x:v>×</x:v>
      </x:c>
      <x:c r="L53" s="30" t="str">
        <x:v>第4段階</x:v>
      </x:c>
      <x:c r="M53" s="30" t="str">
        <x:v>有料企業所属者</x:v>
      </x:c>
      <x:c r="N53" s="30" t="str">
        <x:v>中</x:v>
      </x:c>
      <x:c r="O53" s="30" t="str">
        <x:v>PC・スマホ</x:v>
      </x:c>
      <x:c r="P53" s="30" t="str">
        <x:v>未着手</x:v>
      </x:c>
      <x:c r="Q53" s="30" t="str"/>
      <x:c r="R53" s="79" t="str">
        <x:v>RT-0074</x:v>
      </x:c>
      <x:c r="S53" s="80" t="str">
        <x:v>EmployeeAttendanceController</x:v>
      </x:c>
      <x:c r="T53" s="81" t="str">
        <x:v>mypage/attendance/corrections/form</x:v>
      </x:c>
    </x:row>
    <x:row r="54" ht="34" customHeight="1">
      <x:c r="A54" s="30" t="n">
        <x:v>51</x:v>
      </x:c>
      <x:c r="B54" s="30" t="str">
        <x:v>SC-CO-001</x:v>
      </x:c>
      <x:c r="C54" s="30" t="str">
        <x:v>企業</x:v>
      </x:c>
      <x:c r="D54" s="30" t="str">
        <x:v>ダッシュボード</x:v>
      </x:c>
      <x:c r="E54" s="30" t="str">
        <x:v>企業管理ダッシュボード</x:v>
      </x:c>
      <x:c r="F54" s="30" t="str">
        <x:v>公開求人、応募者、未読チャット、評価協力率、契約状況を表示する</x:v>
      </x:c>
      <x:c r="G54" s="30" t="str">
        <x:v>ページ</x:v>
      </x:c>
      <x:c r="H54" s="30" t="str">
        <x:v>/company</x:v>
      </x:c>
      <x:c r="I54" s="30" t="str">
        <x:v>必要</x:v>
      </x:c>
      <x:c r="J54" s="30" t="str">
        <x:v>10,16,26,79,89,90,91</x:v>
      </x:c>
      <x:c r="K54" s="30" t="str">
        <x:v>〇</x:v>
      </x:c>
      <x:c r="L54" s="30" t="str">
        <x:v>第1段階</x:v>
      </x:c>
      <x:c r="M54" s="30" t="str">
        <x:v>無料・有料共通</x:v>
      </x:c>
      <x:c r="N54" s="30" t="str">
        <x:v>最優先</x:v>
      </x:c>
      <x:c r="O54" s="30" t="str">
        <x:v>PC中心</x:v>
      </x:c>
      <x:c r="P54" s="30" t="str">
        <x:v>未着手</x:v>
      </x:c>
      <x:c r="Q54" s="30" t="str"/>
      <x:c r="R54" s="79" t="str">
        <x:v>RT-0076</x:v>
      </x:c>
      <x:c r="S54" s="80" t="str">
        <x:v>CompanyDashboardController</x:v>
      </x:c>
      <x:c r="T54" s="81" t="str">
        <x:v>company/dashboard</x:v>
      </x:c>
    </x:row>
    <x:row r="55" ht="34" customHeight="1">
      <x:c r="A55" s="30" t="n">
        <x:v>52</x:v>
      </x:c>
      <x:c r="B55" s="30" t="str">
        <x:v>SC-CO-002</x:v>
      </x:c>
      <x:c r="C55" s="30" t="str">
        <x:v>企業</x:v>
      </x:c>
      <x:c r="D55" s="30" t="str">
        <x:v>企業情報</x:v>
      </x:c>
      <x:c r="E55" s="30" t="str">
        <x:v>企業プロフィール編集</x:v>
      </x:c>
      <x:c r="F55" s="30" t="str">
        <x:v>会社情報、事業内容、福利厚生、公開情報を編集する</x:v>
      </x:c>
      <x:c r="G55" s="30" t="str">
        <x:v>ページ</x:v>
      </x:c>
      <x:c r="H55" s="30" t="str">
        <x:v>/company/profile</x:v>
      </x:c>
      <x:c r="I55" s="30" t="str">
        <x:v>必要</x:v>
      </x:c>
      <x:c r="J55" s="30" t="str">
        <x:v>2,4</x:v>
      </x:c>
      <x:c r="K55" s="30" t="str">
        <x:v>〇</x:v>
      </x:c>
      <x:c r="L55" s="30" t="str">
        <x:v>第1段階</x:v>
      </x:c>
      <x:c r="M55" s="30" t="str">
        <x:v>無料</x:v>
      </x:c>
      <x:c r="N55" s="30" t="str">
        <x:v>高</x:v>
      </x:c>
      <x:c r="O55" s="30" t="str">
        <x:v>PC中心</x:v>
      </x:c>
      <x:c r="P55" s="30" t="str">
        <x:v>未着手</x:v>
      </x:c>
      <x:c r="Q55" s="30" t="str"/>
      <x:c r="R55" s="79" t="str">
        <x:v>RT-0077</x:v>
      </x:c>
      <x:c r="S55" s="80" t="str">
        <x:v>CompanyProfileController</x:v>
      </x:c>
      <x:c r="T55" s="81" t="str">
        <x:v>company/profile</x:v>
      </x:c>
    </x:row>
    <x:row r="56" ht="34" customHeight="1">
      <x:c r="A56" s="30" t="n">
        <x:v>53</x:v>
      </x:c>
      <x:c r="B56" s="30" t="str">
        <x:v>SC-CO-003</x:v>
      </x:c>
      <x:c r="C56" s="30" t="str">
        <x:v>企業</x:v>
      </x:c>
      <x:c r="D56" s="30" t="str">
        <x:v>企業情報</x:v>
      </x:c>
      <x:c r="E56" s="30" t="str">
        <x:v>企業審査申請</x:v>
      </x:c>
      <x:c r="F56" s="30" t="str">
        <x:v>必要書類をアップロードし、企業審査を申請する</x:v>
      </x:c>
      <x:c r="G56" s="30" t="str">
        <x:v>ページ</x:v>
      </x:c>
      <x:c r="H56" s="30" t="str">
        <x:v>/company/verification/apply</x:v>
      </x:c>
      <x:c r="I56" s="30" t="str">
        <x:v>必要</x:v>
      </x:c>
      <x:c r="J56" s="30" t="str">
        <x:v>3</x:v>
      </x:c>
      <x:c r="K56" s="30" t="str">
        <x:v>〇</x:v>
      </x:c>
      <x:c r="L56" s="30" t="str">
        <x:v>第1段階</x:v>
      </x:c>
      <x:c r="M56" s="30" t="str">
        <x:v>無料</x:v>
      </x:c>
      <x:c r="N56" s="30" t="str">
        <x:v>最優先</x:v>
      </x:c>
      <x:c r="O56" s="30" t="str">
        <x:v>PC中心</x:v>
      </x:c>
      <x:c r="P56" s="30" t="str">
        <x:v>未着手</x:v>
      </x:c>
      <x:c r="Q56" s="30" t="str"/>
      <x:c r="R56" s="79" t="str">
        <x:v>RT-0079</x:v>
      </x:c>
      <x:c r="S56" s="80" t="str">
        <x:v>CompanyVerificationController</x:v>
      </x:c>
      <x:c r="T56" s="81" t="str">
        <x:v>company/verification/apply</x:v>
      </x:c>
    </x:row>
    <x:row r="57" ht="34" customHeight="1">
      <x:c r="A57" s="30" t="n">
        <x:v>54</x:v>
      </x:c>
      <x:c r="B57" s="30" t="str">
        <x:v>SC-CO-004</x:v>
      </x:c>
      <x:c r="C57" s="30" t="str">
        <x:v>企業</x:v>
      </x:c>
      <x:c r="D57" s="30" t="str">
        <x:v>企業情報</x:v>
      </x:c>
      <x:c r="E57" s="30" t="str">
        <x:v>企業審査状況</x:v>
      </x:c>
      <x:c r="F57" s="30" t="str">
        <x:v>申請内容、審査結果、差戻し理由を確認する</x:v>
      </x:c>
      <x:c r="G57" s="30" t="str">
        <x:v>ページ</x:v>
      </x:c>
      <x:c r="H57" s="30" t="str">
        <x:v>/company/verification</x:v>
      </x:c>
      <x:c r="I57" s="30" t="str">
        <x:v>必要</x:v>
      </x:c>
      <x:c r="J57" s="30" t="str">
        <x:v>3,84</x:v>
      </x:c>
      <x:c r="K57" s="30" t="str">
        <x:v>〇</x:v>
      </x:c>
      <x:c r="L57" s="30" t="str">
        <x:v>第1段階</x:v>
      </x:c>
      <x:c r="M57" s="30" t="str">
        <x:v>無料</x:v>
      </x:c>
      <x:c r="N57" s="30" t="str">
        <x:v>高</x:v>
      </x:c>
      <x:c r="O57" s="30" t="str">
        <x:v>PC中心</x:v>
      </x:c>
      <x:c r="P57" s="30" t="str">
        <x:v>未着手</x:v>
      </x:c>
      <x:c r="Q57" s="30" t="str"/>
      <x:c r="R57" s="79" t="str">
        <x:v>RT-0081</x:v>
      </x:c>
      <x:c r="S57" s="80" t="str">
        <x:v>CompanyVerificationController</x:v>
      </x:c>
      <x:c r="T57" s="81" t="str">
        <x:v>company/verification</x:v>
      </x:c>
    </x:row>
    <x:row r="58" ht="34" customHeight="1">
      <x:c r="A58" s="30" t="n">
        <x:v>55</x:v>
      </x:c>
      <x:c r="B58" s="30" t="str">
        <x:v>SC-CO-005</x:v>
      </x:c>
      <x:c r="C58" s="30" t="str">
        <x:v>企業</x:v>
      </x:c>
      <x:c r="D58" s="30" t="str">
        <x:v>担当者管理</x:v>
      </x:c>
      <x:c r="E58" s="30" t="str">
        <x:v>企業担当者一覧</x:v>
      </x:c>
      <x:c r="F58" s="30" t="str">
        <x:v>企業に所属する担当者、役割、状態を一覧表示する</x:v>
      </x:c>
      <x:c r="G58" s="30" t="str">
        <x:v>ページ</x:v>
      </x:c>
      <x:c r="H58" s="30" t="str">
        <x:v>/company/members</x:v>
      </x:c>
      <x:c r="I58" s="30" t="str">
        <x:v>必要</x:v>
      </x:c>
      <x:c r="J58" s="30" t="str">
        <x:v>5,6</x:v>
      </x:c>
      <x:c r="K58" s="30" t="str">
        <x:v>△</x:v>
      </x:c>
      <x:c r="L58" s="30" t="str">
        <x:v>第2段階</x:v>
      </x:c>
      <x:c r="M58" s="30" t="str">
        <x:v>制限付き無料</x:v>
      </x:c>
      <x:c r="N58" s="30" t="str">
        <x:v>中</x:v>
      </x:c>
      <x:c r="O58" s="30" t="str">
        <x:v>PC中心</x:v>
      </x:c>
      <x:c r="P58" s="30" t="str">
        <x:v>未着手</x:v>
      </x:c>
      <x:c r="Q58" s="30" t="str"/>
      <x:c r="R58" s="79" t="str">
        <x:v>RT-0082</x:v>
      </x:c>
      <x:c r="S58" s="80" t="str">
        <x:v>CompanyMemberController</x:v>
      </x:c>
      <x:c r="T58" s="81" t="str">
        <x:v>company/members</x:v>
      </x:c>
    </x:row>
    <x:row r="59" ht="34" customHeight="1">
      <x:c r="A59" s="30" t="n">
        <x:v>56</x:v>
      </x:c>
      <x:c r="B59" s="30" t="str">
        <x:v>SC-CO-006</x:v>
      </x:c>
      <x:c r="C59" s="30" t="str">
        <x:v>企業</x:v>
      </x:c>
      <x:c r="D59" s="30" t="str">
        <x:v>担当者管理</x:v>
      </x:c>
      <x:c r="E59" s="30" t="str">
        <x:v>企業担当者招待</x:v>
      </x:c>
      <x:c r="F59" s="30" t="str">
        <x:v>メールアドレス、役割、有効期限を設定して招待する</x:v>
      </x:c>
      <x:c r="G59" s="30" t="str">
        <x:v>ページ／ダイアログ</x:v>
      </x:c>
      <x:c r="H59" s="30" t="str">
        <x:v>/company/members/invite</x:v>
      </x:c>
      <x:c r="I59" s="30" t="str">
        <x:v>必要</x:v>
      </x:c>
      <x:c r="J59" s="30" t="str">
        <x:v>5</x:v>
      </x:c>
      <x:c r="K59" s="30" t="str">
        <x:v>△</x:v>
      </x:c>
      <x:c r="L59" s="30" t="str">
        <x:v>第2段階</x:v>
      </x:c>
      <x:c r="M59" s="30" t="str">
        <x:v>制限付き無料</x:v>
      </x:c>
      <x:c r="N59" s="30" t="str">
        <x:v>中</x:v>
      </x:c>
      <x:c r="O59" s="30" t="str">
        <x:v>PC中心</x:v>
      </x:c>
      <x:c r="P59" s="30" t="str">
        <x:v>未着手</x:v>
      </x:c>
      <x:c r="Q59" s="30" t="str"/>
      <x:c r="R59" s="79" t="str">
        <x:v>RT-0083</x:v>
      </x:c>
      <x:c r="S59" s="80" t="str">
        <x:v>CompanyMemberController</x:v>
      </x:c>
      <x:c r="T59" s="81" t="str">
        <x:v>company/members/invite</x:v>
      </x:c>
    </x:row>
    <x:row r="60" ht="34" customHeight="1">
      <x:c r="A60" s="30" t="n">
        <x:v>57</x:v>
      </x:c>
      <x:c r="B60" s="30" t="str">
        <x:v>SC-CO-007</x:v>
      </x:c>
      <x:c r="C60" s="30" t="str">
        <x:v>企業</x:v>
      </x:c>
      <x:c r="D60" s="30" t="str">
        <x:v>権限管理</x:v>
      </x:c>
      <x:c r="E60" s="30" t="str">
        <x:v>ロール・権限設定</x:v>
      </x:c>
      <x:c r="F60" s="30" t="str">
        <x:v>企業オーナー、採用担当、勤怠管理者などの権限を管理する</x:v>
      </x:c>
      <x:c r="G60" s="30" t="str">
        <x:v>ページ</x:v>
      </x:c>
      <x:c r="H60" s="30" t="str">
        <x:v>/company/roles</x:v>
      </x:c>
      <x:c r="I60" s="30" t="str">
        <x:v>必要</x:v>
      </x:c>
      <x:c r="J60" s="30" t="str">
        <x:v>6</x:v>
      </x:c>
      <x:c r="K60" s="30" t="str">
        <x:v>×</x:v>
      </x:c>
      <x:c r="L60" s="30" t="str">
        <x:v>第3段階</x:v>
      </x:c>
      <x:c r="M60" s="30" t="str">
        <x:v>有料</x:v>
      </x:c>
      <x:c r="N60" s="30" t="str">
        <x:v>中</x:v>
      </x:c>
      <x:c r="O60" s="30" t="str">
        <x:v>PC中心</x:v>
      </x:c>
      <x:c r="P60" s="30" t="str">
        <x:v>未着手</x:v>
      </x:c>
      <x:c r="Q60" s="30" t="str"/>
      <x:c r="R60" s="79" t="str">
        <x:v>RT-0085</x:v>
      </x:c>
      <x:c r="S60" s="80" t="str">
        <x:v>CompanyRoleController</x:v>
      </x:c>
      <x:c r="T60" s="81" t="str">
        <x:v>company/roles</x:v>
      </x:c>
    </x:row>
    <x:row r="61" ht="34" customHeight="1">
      <x:c r="A61" s="30" t="n">
        <x:v>58</x:v>
      </x:c>
      <x:c r="B61" s="30" t="str">
        <x:v>SC-CO-008</x:v>
      </x:c>
      <x:c r="C61" s="30" t="str">
        <x:v>企業</x:v>
      </x:c>
      <x:c r="D61" s="30" t="str">
        <x:v>求人掲載</x:v>
      </x:c>
      <x:c r="E61" s="30" t="str">
        <x:v>求人一覧</x:v>
      </x:c>
      <x:c r="F61" s="30" t="str">
        <x:v>下書き、審査中、公開中、停止中、終了済みの求人を管理する</x:v>
      </x:c>
      <x:c r="G61" s="30" t="str">
        <x:v>ページ</x:v>
      </x:c>
      <x:c r="H61" s="30" t="str">
        <x:v>/company/jobs</x:v>
      </x:c>
      <x:c r="I61" s="30" t="str">
        <x:v>必要</x:v>
      </x:c>
      <x:c r="J61" s="30" t="str">
        <x:v>7,8,10,12,13,14</x:v>
      </x:c>
      <x:c r="K61" s="30" t="str">
        <x:v>〇</x:v>
      </x:c>
      <x:c r="L61" s="30" t="str">
        <x:v>第1段階</x:v>
      </x:c>
      <x:c r="M61" s="30" t="str">
        <x:v>制限付き無料</x:v>
      </x:c>
      <x:c r="N61" s="30" t="str">
        <x:v>最優先</x:v>
      </x:c>
      <x:c r="O61" s="30" t="str">
        <x:v>PC中心</x:v>
      </x:c>
      <x:c r="P61" s="30" t="str">
        <x:v>未着手</x:v>
      </x:c>
      <x:c r="Q61" s="30" t="str"/>
      <x:c r="R61" s="79" t="str">
        <x:v>RT-0087</x:v>
      </x:c>
      <x:c r="S61" s="80" t="str">
        <x:v>CompanyJobController</x:v>
      </x:c>
      <x:c r="T61" s="81" t="str">
        <x:v>company/jobs</x:v>
      </x:c>
    </x:row>
    <x:row r="62" ht="34" customHeight="1">
      <x:c r="A62" s="30" t="n">
        <x:v>59</x:v>
      </x:c>
      <x:c r="B62" s="30" t="str">
        <x:v>SC-CO-009</x:v>
      </x:c>
      <x:c r="C62" s="30" t="str">
        <x:v>企業</x:v>
      </x:c>
      <x:c r="D62" s="30" t="str">
        <x:v>求人掲載</x:v>
      </x:c>
      <x:c r="E62" s="30" t="str">
        <x:v>求人新規作成・編集</x:v>
      </x:c>
      <x:c r="F62" s="30" t="str">
        <x:v>求人条件を入力し、下書き保存する</x:v>
      </x:c>
      <x:c r="G62" s="30" t="str">
        <x:v>ページ</x:v>
      </x:c>
      <x:c r="H62" s="30" t="str">
        <x:v>/company/jobs/{jobId}/edit</x:v>
      </x:c>
      <x:c r="I62" s="30" t="str">
        <x:v>必要</x:v>
      </x:c>
      <x:c r="J62" s="30" t="str">
        <x:v>7,8,14</x:v>
      </x:c>
      <x:c r="K62" s="30" t="str">
        <x:v>〇</x:v>
      </x:c>
      <x:c r="L62" s="30" t="str">
        <x:v>第1段階</x:v>
      </x:c>
      <x:c r="M62" s="30" t="str">
        <x:v>制限付き無料</x:v>
      </x:c>
      <x:c r="N62" s="30" t="str">
        <x:v>最優先</x:v>
      </x:c>
      <x:c r="O62" s="30" t="str">
        <x:v>PC中心</x:v>
      </x:c>
      <x:c r="P62" s="30" t="str">
        <x:v>未着手</x:v>
      </x:c>
      <x:c r="Q62" s="30" t="str"/>
      <x:c r="R62" s="79" t="str">
        <x:v>RT-0088</x:v>
      </x:c>
      <x:c r="S62" s="80" t="str">
        <x:v>CompanyJobController</x:v>
      </x:c>
      <x:c r="T62" s="81" t="str">
        <x:v>company/jobs/form</x:v>
      </x:c>
    </x:row>
    <x:row r="63" ht="34" customHeight="1">
      <x:c r="A63" s="30" t="n">
        <x:v>60</x:v>
      </x:c>
      <x:c r="B63" s="30" t="str">
        <x:v>SC-CO-010</x:v>
      </x:c>
      <x:c r="C63" s="30" t="str">
        <x:v>企業</x:v>
      </x:c>
      <x:c r="D63" s="30" t="str">
        <x:v>求人掲載</x:v>
      </x:c>
      <x:c r="E63" s="30" t="str">
        <x:v>求人プレビュー</x:v>
      </x:c>
      <x:c r="F63" s="30" t="str">
        <x:v>求職者側の求人詳細表示を公開前に確認する</x:v>
      </x:c>
      <x:c r="G63" s="30" t="str">
        <x:v>ページ</x:v>
      </x:c>
      <x:c r="H63" s="30" t="str">
        <x:v>/company/jobs/{jobId}/preview</x:v>
      </x:c>
      <x:c r="I63" s="30" t="str">
        <x:v>必要</x:v>
      </x:c>
      <x:c r="J63" s="30" t="str">
        <x:v>9</x:v>
      </x:c>
      <x:c r="K63" s="30" t="str">
        <x:v>〇</x:v>
      </x:c>
      <x:c r="L63" s="30" t="str">
        <x:v>第1段階</x:v>
      </x:c>
      <x:c r="M63" s="30" t="str">
        <x:v>無料</x:v>
      </x:c>
      <x:c r="N63" s="30" t="str">
        <x:v>高</x:v>
      </x:c>
      <x:c r="O63" s="30" t="str">
        <x:v>PC中心</x:v>
      </x:c>
      <x:c r="P63" s="30" t="str">
        <x:v>未着手</x:v>
      </x:c>
      <x:c r="Q63" s="30" t="str"/>
      <x:c r="R63" s="79" t="str">
        <x:v>RT-0090</x:v>
      </x:c>
      <x:c r="S63" s="80" t="str">
        <x:v>CompanyJobController</x:v>
      </x:c>
      <x:c r="T63" s="81" t="str">
        <x:v>company/jobs/preview</x:v>
      </x:c>
    </x:row>
    <x:row r="64" ht="34" customHeight="1">
      <x:c r="A64" s="30" t="n">
        <x:v>61</x:v>
      </x:c>
      <x:c r="B64" s="30" t="str">
        <x:v>SC-CO-011</x:v>
      </x:c>
      <x:c r="C64" s="30" t="str">
        <x:v>企業</x:v>
      </x:c>
      <x:c r="D64" s="30" t="str">
        <x:v>求人掲載</x:v>
      </x:c>
      <x:c r="E64" s="30" t="str">
        <x:v>求人公開確認・枠判定</x:v>
      </x:c>
      <x:c r="F64" s="30" t="str">
        <x:v>審査状態、公開求人件数、料金条件を確認して公開する</x:v>
      </x:c>
      <x:c r="G64" s="30" t="str">
        <x:v>ページ／ダイアログ</x:v>
      </x:c>
      <x:c r="H64" s="30" t="str">
        <x:v>/company/jobs/{jobId}/publish</x:v>
      </x:c>
      <x:c r="I64" s="30" t="str">
        <x:v>必要</x:v>
      </x:c>
      <x:c r="J64" s="30" t="str">
        <x:v>10,89,90,91</x:v>
      </x:c>
      <x:c r="K64" s="30" t="str">
        <x:v>〇</x:v>
      </x:c>
      <x:c r="L64" s="30" t="str">
        <x:v>第1段階</x:v>
      </x:c>
      <x:c r="M64" s="30" t="str">
        <x:v>制限付き無料</x:v>
      </x:c>
      <x:c r="N64" s="30" t="str">
        <x:v>最優先</x:v>
      </x:c>
      <x:c r="O64" s="30" t="str">
        <x:v>PC中心</x:v>
      </x:c>
      <x:c r="P64" s="30" t="str">
        <x:v>未着手</x:v>
      </x:c>
      <x:c r="Q64" s="30" t="str"/>
      <x:c r="R64" s="79" t="str">
        <x:v>RT-0091</x:v>
      </x:c>
      <x:c r="S64" s="80" t="str">
        <x:v>CompanyJobController</x:v>
      </x:c>
      <x:c r="T64" s="81" t="str">
        <x:v>company/jobs/publish</x:v>
      </x:c>
    </x:row>
    <x:row r="65" ht="34" customHeight="1">
      <x:c r="A65" s="30" t="n">
        <x:v>62</x:v>
      </x:c>
      <x:c r="B65" s="30" t="str">
        <x:v>SC-CO-012</x:v>
      </x:c>
      <x:c r="C65" s="30" t="str">
        <x:v>企業</x:v>
      </x:c>
      <x:c r="D65" s="30" t="str">
        <x:v>求人掲載</x:v>
      </x:c>
      <x:c r="E65" s="30" t="str">
        <x:v>求人公開予約</x:v>
      </x:c>
      <x:c r="F65" s="30" t="str">
        <x:v>公開日時と終了日時を指定する</x:v>
      </x:c>
      <x:c r="G65" s="30" t="str">
        <x:v>ページ／ダイアログ</x:v>
      </x:c>
      <x:c r="H65" s="30" t="str">
        <x:v>/company/jobs/{jobId}/schedule</x:v>
      </x:c>
      <x:c r="I65" s="30" t="str">
        <x:v>必要</x:v>
      </x:c>
      <x:c r="J65" s="30" t="str">
        <x:v>11</x:v>
      </x:c>
      <x:c r="K65" s="30" t="str">
        <x:v>×</x:v>
      </x:c>
      <x:c r="L65" s="30" t="str">
        <x:v>第3段階</x:v>
      </x:c>
      <x:c r="M65" s="30" t="str">
        <x:v>有料</x:v>
      </x:c>
      <x:c r="N65" s="30" t="str">
        <x:v>低</x:v>
      </x:c>
      <x:c r="O65" s="30" t="str">
        <x:v>PC中心</x:v>
      </x:c>
      <x:c r="P65" s="30" t="str">
        <x:v>未着手</x:v>
      </x:c>
      <x:c r="Q65" s="30" t="str"/>
      <x:c r="R65" s="79" t="str">
        <x:v>RT-0093</x:v>
      </x:c>
      <x:c r="S65" s="80" t="str">
        <x:v>CompanyJobController</x:v>
      </x:c>
      <x:c r="T65" s="81" t="str">
        <x:v>company/jobs/schedule</x:v>
      </x:c>
    </x:row>
    <x:row r="66" ht="34" customHeight="1">
      <x:c r="A66" s="30" t="n">
        <x:v>63</x:v>
      </x:c>
      <x:c r="B66" s="30" t="str">
        <x:v>SC-CO-013</x:v>
      </x:c>
      <x:c r="C66" s="30" t="str">
        <x:v>企業</x:v>
      </x:c>
      <x:c r="D66" s="30" t="str">
        <x:v>求人掲載</x:v>
      </x:c>
      <x:c r="E66" s="30" t="str">
        <x:v>求人分析</x:v>
      </x:c>
      <x:c r="F66" s="30" t="str">
        <x:v>閲覧数、応募数、応募率、評価との関係を表示する</x:v>
      </x:c>
      <x:c r="G66" s="30" t="str">
        <x:v>ページ</x:v>
      </x:c>
      <x:c r="H66" s="30" t="str">
        <x:v>/company/jobs/{jobId}/analytics</x:v>
      </x:c>
      <x:c r="I66" s="30" t="str">
        <x:v>必要</x:v>
      </x:c>
      <x:c r="J66" s="30" t="str">
        <x:v>15</x:v>
      </x:c>
      <x:c r="K66" s="30" t="str">
        <x:v>×</x:v>
      </x:c>
      <x:c r="L66" s="30" t="str">
        <x:v>第3段階</x:v>
      </x:c>
      <x:c r="M66" s="30" t="str">
        <x:v>有料</x:v>
      </x:c>
      <x:c r="N66" s="30" t="str">
        <x:v>中</x:v>
      </x:c>
      <x:c r="O66" s="30" t="str">
        <x:v>PC中心</x:v>
      </x:c>
      <x:c r="P66" s="30" t="str">
        <x:v>未着手</x:v>
      </x:c>
      <x:c r="Q66" s="30" t="str"/>
      <x:c r="R66" s="79" t="str">
        <x:v>RT-0095</x:v>
      </x:c>
      <x:c r="S66" s="80" t="str">
        <x:v>CompanyJobController</x:v>
      </x:c>
      <x:c r="T66" s="81" t="str">
        <x:v>company/jobs/analytics</x:v>
      </x:c>
    </x:row>
    <x:row r="67" ht="34" customHeight="1">
      <x:c r="A67" s="30" t="n">
        <x:v>64</x:v>
      </x:c>
      <x:c r="B67" s="30" t="str">
        <x:v>SC-CO-014</x:v>
      </x:c>
      <x:c r="C67" s="30" t="str">
        <x:v>企業</x:v>
      </x:c>
      <x:c r="D67" s="30" t="str">
        <x:v>応募・採用</x:v>
      </x:c>
      <x:c r="E67" s="30" t="str">
        <x:v>応募者一覧</x:v>
      </x:c>
      <x:c r="F67" s="30" t="str">
        <x:v>求人別・選考状態別に応募者を一覧表示する</x:v>
      </x:c>
      <x:c r="G67" s="30" t="str">
        <x:v>ページ</x:v>
      </x:c>
      <x:c r="H67" s="30" t="str">
        <x:v>/company/applications</x:v>
      </x:c>
      <x:c r="I67" s="30" t="str">
        <x:v>必要</x:v>
      </x:c>
      <x:c r="J67" s="30" t="str">
        <x:v>16,18</x:v>
      </x:c>
      <x:c r="K67" s="30" t="str">
        <x:v>〇</x:v>
      </x:c>
      <x:c r="L67" s="30" t="str">
        <x:v>第1段階</x:v>
      </x:c>
      <x:c r="M67" s="30" t="str">
        <x:v>無料</x:v>
      </x:c>
      <x:c r="N67" s="30" t="str">
        <x:v>最優先</x:v>
      </x:c>
      <x:c r="O67" s="30" t="str">
        <x:v>PC中心</x:v>
      </x:c>
      <x:c r="P67" s="30" t="str">
        <x:v>未着手</x:v>
      </x:c>
      <x:c r="Q67" s="30" t="str"/>
      <x:c r="R67" s="79" t="str">
        <x:v>RT-0096</x:v>
      </x:c>
      <x:c r="S67" s="80" t="str">
        <x:v>CompanyApplicationController</x:v>
      </x:c>
      <x:c r="T67" s="81" t="str">
        <x:v>company/applications</x:v>
      </x:c>
    </x:row>
    <x:row r="68" ht="34" customHeight="1">
      <x:c r="A68" s="30" t="n">
        <x:v>65</x:v>
      </x:c>
      <x:c r="B68" s="30" t="str">
        <x:v>SC-CO-015</x:v>
      </x:c>
      <x:c r="C68" s="30" t="str">
        <x:v>企業</x:v>
      </x:c>
      <x:c r="D68" s="30" t="str">
        <x:v>応募・採用</x:v>
      </x:c>
      <x:c r="E68" s="30" t="str">
        <x:v>応募者詳細</x:v>
      </x:c>
      <x:c r="F68" s="30" t="str">
        <x:v>プロフィール、履歴書、職歴、評価、選考履歴、チャットを表示する</x:v>
      </x:c>
      <x:c r="G68" s="30" t="str">
        <x:v>ページ</x:v>
      </x:c>
      <x:c r="H68" s="30" t="str">
        <x:v>/company/applications/{applicationId}</x:v>
      </x:c>
      <x:c r="I68" s="30" t="str">
        <x:v>必要</x:v>
      </x:c>
      <x:c r="J68" s="30" t="str">
        <x:v>17,18,22,68</x:v>
      </x:c>
      <x:c r="K68" s="30" t="str">
        <x:v>〇</x:v>
      </x:c>
      <x:c r="L68" s="30" t="str">
        <x:v>第1段階</x:v>
      </x:c>
      <x:c r="M68" s="30" t="str">
        <x:v>無料</x:v>
      </x:c>
      <x:c r="N68" s="30" t="str">
        <x:v>最優先</x:v>
      </x:c>
      <x:c r="O68" s="30" t="str">
        <x:v>PC中心</x:v>
      </x:c>
      <x:c r="P68" s="30" t="str">
        <x:v>未着手</x:v>
      </x:c>
      <x:c r="Q68" s="30" t="str"/>
      <x:c r="R68" s="79" t="str">
        <x:v>RT-0097</x:v>
      </x:c>
      <x:c r="S68" s="80" t="str">
        <x:v>CompanyApplicationController</x:v>
      </x:c>
      <x:c r="T68" s="81" t="str">
        <x:v>company/applications/detail</x:v>
      </x:c>
    </x:row>
    <x:row r="69" ht="34" customHeight="1">
      <x:c r="A69" s="30" t="n">
        <x:v>66</x:v>
      </x:c>
      <x:c r="B69" s="30" t="str">
        <x:v>SC-CO-016</x:v>
      </x:c>
      <x:c r="C69" s="30" t="str">
        <x:v>企業</x:v>
      </x:c>
      <x:c r="D69" s="30" t="str">
        <x:v>応募・採用</x:v>
      </x:c>
      <x:c r="E69" s="30" t="str">
        <x:v>選考ステータス変更</x:v>
      </x:c>
      <x:c r="F69" s="30" t="str">
        <x:v>書類選考、面接、内定、採用、不採用などへ変更する</x:v>
      </x:c>
      <x:c r="G69" s="30" t="str">
        <x:v>ダイアログ</x:v>
      </x:c>
      <x:c r="H69" s="30" t="str">
        <x:v>/company/applications/{applicationId}/status</x:v>
      </x:c>
      <x:c r="I69" s="30" t="str">
        <x:v>必要</x:v>
      </x:c>
      <x:c r="J69" s="30" t="str">
        <x:v>18,20</x:v>
      </x:c>
      <x:c r="K69" s="30" t="str">
        <x:v>〇</x:v>
      </x:c>
      <x:c r="L69" s="30" t="str">
        <x:v>第1段階</x:v>
      </x:c>
      <x:c r="M69" s="30" t="str">
        <x:v>無料</x:v>
      </x:c>
      <x:c r="N69" s="30" t="str">
        <x:v>最優先</x:v>
      </x:c>
      <x:c r="O69" s="30" t="str">
        <x:v>PC中心</x:v>
      </x:c>
      <x:c r="P69" s="30" t="str">
        <x:v>未着手</x:v>
      </x:c>
      <x:c r="Q69" s="30" t="str"/>
      <x:c r="R69" s="79" t="str">
        <x:v>RT-0098</x:v>
      </x:c>
      <x:c r="S69" s="80" t="str">
        <x:v>CompanyApplicationController</x:v>
      </x:c>
      <x:c r="T69" s="81" t="str">
        <x:v>company/applications/status</x:v>
      </x:c>
    </x:row>
    <x:row r="70" ht="34" customHeight="1">
      <x:c r="A70" s="30" t="n">
        <x:v>67</x:v>
      </x:c>
      <x:c r="B70" s="30" t="str">
        <x:v>SC-CO-017</x:v>
      </x:c>
      <x:c r="C70" s="30" t="str">
        <x:v>企業</x:v>
      </x:c>
      <x:c r="D70" s="30" t="str">
        <x:v>応募・採用</x:v>
      </x:c>
      <x:c r="E70" s="30" t="str">
        <x:v>面接日程調整</x:v>
      </x:c>
      <x:c r="F70" s="30" t="str">
        <x:v>候補日時を提示し、ユーザーの回答と確定日時を管理する</x:v>
      </x:c>
      <x:c r="G70" s="30" t="str">
        <x:v>ページ</x:v>
      </x:c>
      <x:c r="H70" s="30" t="str">
        <x:v>/company/applications/{applicationId}/interview</x:v>
      </x:c>
      <x:c r="I70" s="30" t="str">
        <x:v>必要</x:v>
      </x:c>
      <x:c r="J70" s="30" t="str">
        <x:v>19</x:v>
      </x:c>
      <x:c r="K70" s="30" t="str">
        <x:v>△</x:v>
      </x:c>
      <x:c r="L70" s="30" t="str">
        <x:v>第2段階</x:v>
      </x:c>
      <x:c r="M70" s="30" t="str">
        <x:v>無料</x:v>
      </x:c>
      <x:c r="N70" s="30" t="str">
        <x:v>高</x:v>
      </x:c>
      <x:c r="O70" s="30" t="str">
        <x:v>PC中心</x:v>
      </x:c>
      <x:c r="P70" s="30" t="str">
        <x:v>未着手</x:v>
      </x:c>
      <x:c r="Q70" s="30" t="str"/>
      <x:c r="R70" s="79" t="str">
        <x:v>RT-0100</x:v>
      </x:c>
      <x:c r="S70" s="80" t="str">
        <x:v>CompanyApplicationController</x:v>
      </x:c>
      <x:c r="T70" s="81" t="str">
        <x:v>company/applications/interview</x:v>
      </x:c>
    </x:row>
    <x:row r="71" ht="34" customHeight="1">
      <x:c r="A71" s="30" t="n">
        <x:v>68</x:v>
      </x:c>
      <x:c r="B71" s="30" t="str">
        <x:v>SC-CO-018</x:v>
      </x:c>
      <x:c r="C71" s="30" t="str">
        <x:v>企業</x:v>
      </x:c>
      <x:c r="D71" s="30" t="str">
        <x:v>応募・採用</x:v>
      </x:c>
      <x:c r="E71" s="30" t="str">
        <x:v>内定通知作成</x:v>
      </x:c>
      <x:c r="F71" s="30" t="str">
        <x:v>雇用条件、回答期限、メッセージを入力して内定通知する</x:v>
      </x:c>
      <x:c r="G71" s="30" t="str">
        <x:v>ページ</x:v>
      </x:c>
      <x:c r="H71" s="30" t="str">
        <x:v>/company/applications/{applicationId}/offer</x:v>
      </x:c>
      <x:c r="I71" s="30" t="str">
        <x:v>必要</x:v>
      </x:c>
      <x:c r="J71" s="30" t="str">
        <x:v>20,21</x:v>
      </x:c>
      <x:c r="K71" s="30" t="str">
        <x:v>△</x:v>
      </x:c>
      <x:c r="L71" s="30" t="str">
        <x:v>第2段階</x:v>
      </x:c>
      <x:c r="M71" s="30" t="str">
        <x:v>無料</x:v>
      </x:c>
      <x:c r="N71" s="30" t="str">
        <x:v>高</x:v>
      </x:c>
      <x:c r="O71" s="30" t="str">
        <x:v>PC中心</x:v>
      </x:c>
      <x:c r="P71" s="30" t="str">
        <x:v>未着手</x:v>
      </x:c>
      <x:c r="Q71" s="30" t="str"/>
      <x:c r="R71" s="79" t="str">
        <x:v>RT-0102</x:v>
      </x:c>
      <x:c r="S71" s="80" t="str">
        <x:v>CompanyApplicationController</x:v>
      </x:c>
      <x:c r="T71" s="81" t="str">
        <x:v>company/applications/offer</x:v>
      </x:c>
    </x:row>
    <x:row r="72" ht="34" customHeight="1">
      <x:c r="A72" s="30" t="n">
        <x:v>69</x:v>
      </x:c>
      <x:c r="B72" s="30" t="str">
        <x:v>SC-CO-019</x:v>
      </x:c>
      <x:c r="C72" s="30" t="str">
        <x:v>企業</x:v>
      </x:c>
      <x:c r="D72" s="30" t="str">
        <x:v>応募・採用</x:v>
      </x:c>
      <x:c r="E72" s="30" t="str">
        <x:v>応募者メモ編集</x:v>
      </x:c>
      <x:c r="F72" s="30" t="str">
        <x:v>企業内部だけで閲覧する応募者メモを登録する</x:v>
      </x:c>
      <x:c r="G72" s="30" t="str">
        <x:v>ダイアログ</x:v>
      </x:c>
      <x:c r="H72" s="30" t="str">
        <x:v>/company/applications/{applicationId}/memo</x:v>
      </x:c>
      <x:c r="I72" s="30" t="str">
        <x:v>必要</x:v>
      </x:c>
      <x:c r="J72" s="30" t="str">
        <x:v>22</x:v>
      </x:c>
      <x:c r="K72" s="30" t="str">
        <x:v>△</x:v>
      </x:c>
      <x:c r="L72" s="30" t="str">
        <x:v>第2段階</x:v>
      </x:c>
      <x:c r="M72" s="30" t="str">
        <x:v>有料</x:v>
      </x:c>
      <x:c r="N72" s="30" t="str">
        <x:v>中</x:v>
      </x:c>
      <x:c r="O72" s="30" t="str">
        <x:v>PC中心</x:v>
      </x:c>
      <x:c r="P72" s="30" t="str">
        <x:v>未着手</x:v>
      </x:c>
      <x:c r="Q72" s="30" t="str"/>
      <x:c r="R72" s="79" t="str">
        <x:v>RT-0104</x:v>
      </x:c>
      <x:c r="S72" s="80" t="str">
        <x:v>CompanyApplicationController</x:v>
      </x:c>
      <x:c r="T72" s="81" t="str">
        <x:v>company/applications/memo</x:v>
      </x:c>
    </x:row>
    <x:row r="73" ht="34" customHeight="1">
      <x:c r="A73" s="30" t="n">
        <x:v>70</x:v>
      </x:c>
      <x:c r="B73" s="30" t="str">
        <x:v>SC-CO-020</x:v>
      </x:c>
      <x:c r="C73" s="30" t="str">
        <x:v>企業</x:v>
      </x:c>
      <x:c r="D73" s="30" t="str">
        <x:v>チャット</x:v>
      </x:c>
      <x:c r="E73" s="30" t="str">
        <x:v>企業チャット一覧</x:v>
      </x:c>
      <x:c r="F73" s="30" t="str">
        <x:v>応募チャットと企業問い合わせを担当者・未読順に表示する</x:v>
      </x:c>
      <x:c r="G73" s="30" t="str">
        <x:v>ページ</x:v>
      </x:c>
      <x:c r="H73" s="30" t="str">
        <x:v>/company/chats</x:v>
      </x:c>
      <x:c r="I73" s="30" t="str">
        <x:v>必要</x:v>
      </x:c>
      <x:c r="J73" s="30" t="str">
        <x:v>68,69,71</x:v>
      </x:c>
      <x:c r="K73" s="30" t="str">
        <x:v>〇</x:v>
      </x:c>
      <x:c r="L73" s="30" t="str">
        <x:v>第1段階</x:v>
      </x:c>
      <x:c r="M73" s="30" t="str">
        <x:v>無料</x:v>
      </x:c>
      <x:c r="N73" s="30" t="str">
        <x:v>最優先</x:v>
      </x:c>
      <x:c r="O73" s="30" t="str">
        <x:v>PC中心</x:v>
      </x:c>
      <x:c r="P73" s="30" t="str">
        <x:v>未着手</x:v>
      </x:c>
      <x:c r="Q73" s="30" t="str"/>
      <x:c r="R73" s="79" t="str">
        <x:v>RT-0106</x:v>
      </x:c>
      <x:c r="S73" s="80" t="str">
        <x:v>CompanyChatController</x:v>
      </x:c>
      <x:c r="T73" s="81" t="str">
        <x:v>company/chats</x:v>
      </x:c>
    </x:row>
    <x:row r="74" ht="34" customHeight="1">
      <x:c r="A74" s="30" t="n">
        <x:v>71</x:v>
      </x:c>
      <x:c r="B74" s="30" t="str">
        <x:v>SC-CO-021</x:v>
      </x:c>
      <x:c r="C74" s="30" t="str">
        <x:v>企業</x:v>
      </x:c>
      <x:c r="D74" s="30" t="str">
        <x:v>チャット</x:v>
      </x:c>
      <x:c r="E74" s="30" t="str">
        <x:v>企業チャットルーム</x:v>
      </x:c>
      <x:c r="F74" s="30" t="str">
        <x:v>メッセージ送受信、既読、添付、ルーム終了を管理する</x:v>
      </x:c>
      <x:c r="G74" s="30" t="str">
        <x:v>ページ</x:v>
      </x:c>
      <x:c r="H74" s="30" t="str">
        <x:v>/company/chats/{roomId}</x:v>
      </x:c>
      <x:c r="I74" s="30" t="str">
        <x:v>必要</x:v>
      </x:c>
      <x:c r="J74" s="30" t="str">
        <x:v>70,71,72,73,74</x:v>
      </x:c>
      <x:c r="K74" s="30" t="str">
        <x:v>〇</x:v>
      </x:c>
      <x:c r="L74" s="30" t="str">
        <x:v>第1段階</x:v>
      </x:c>
      <x:c r="M74" s="30" t="str">
        <x:v>制限付き無料</x:v>
      </x:c>
      <x:c r="N74" s="30" t="str">
        <x:v>最優先</x:v>
      </x:c>
      <x:c r="O74" s="30" t="str">
        <x:v>PC・スマホ</x:v>
      </x:c>
      <x:c r="P74" s="30" t="str">
        <x:v>未着手</x:v>
      </x:c>
      <x:c r="Q74" s="30" t="str"/>
      <x:c r="R74" s="79" t="str">
        <x:v>RT-0107</x:v>
      </x:c>
      <x:c r="S74" s="80" t="str">
        <x:v>CompanyChatController</x:v>
      </x:c>
      <x:c r="T74" s="81" t="str">
        <x:v>company/chats/detail</x:v>
      </x:c>
    </x:row>
    <x:row r="75" ht="34" customHeight="1">
      <x:c r="A75" s="30" t="n">
        <x:v>72</x:v>
      </x:c>
      <x:c r="B75" s="30" t="str">
        <x:v>SC-CO-022</x:v>
      </x:c>
      <x:c r="C75" s="30" t="str">
        <x:v>企業</x:v>
      </x:c>
      <x:c r="D75" s="30" t="str">
        <x:v>評価</x:v>
      </x:c>
      <x:c r="E75" s="30" t="str">
        <x:v>ユーザー評価対象一覧</x:v>
      </x:c>
      <x:c r="F75" s="30" t="str">
        <x:v>採用者の評価可能日、期限、下書き、完了状況を表示する</x:v>
      </x:c>
      <x:c r="G75" s="30" t="str">
        <x:v>ページ</x:v>
      </x:c>
      <x:c r="H75" s="30" t="str">
        <x:v>/company/reviews/users</x:v>
      </x:c>
      <x:c r="I75" s="30" t="str">
        <x:v>必要</x:v>
      </x:c>
      <x:c r="J75" s="30" t="str">
        <x:v>23,25,76,77</x:v>
      </x:c>
      <x:c r="K75" s="30" t="str">
        <x:v>〇</x:v>
      </x:c>
      <x:c r="L75" s="30" t="str">
        <x:v>第1段階</x:v>
      </x:c>
      <x:c r="M75" s="30" t="str">
        <x:v>無料</x:v>
      </x:c>
      <x:c r="N75" s="30" t="str">
        <x:v>最優先</x:v>
      </x:c>
      <x:c r="O75" s="30" t="str">
        <x:v>PC中心</x:v>
      </x:c>
      <x:c r="P75" s="30" t="str">
        <x:v>未着手</x:v>
      </x:c>
      <x:c r="Q75" s="30" t="str"/>
      <x:c r="R75" s="79" t="str">
        <x:v>RT-0108</x:v>
      </x:c>
      <x:c r="S75" s="80" t="str">
        <x:v>CompanyReviewController</x:v>
      </x:c>
      <x:c r="T75" s="81" t="str">
        <x:v>company/reviews/users</x:v>
      </x:c>
    </x:row>
    <x:row r="76" ht="34" customHeight="1">
      <x:c r="A76" s="30" t="n">
        <x:v>73</x:v>
      </x:c>
      <x:c r="B76" s="30" t="str">
        <x:v>SC-CO-023</x:v>
      </x:c>
      <x:c r="C76" s="30" t="str">
        <x:v>企業</x:v>
      </x:c>
      <x:c r="D76" s="30" t="str">
        <x:v>評価</x:v>
      </x:c>
      <x:c r="E76" s="30" t="str">
        <x:v>ユーザー評価入力</x:v>
      </x:c>
      <x:c r="F76" s="30" t="str">
        <x:v>採用・就業したユーザーを項目別に評価し、コメントを登録する</x:v>
      </x:c>
      <x:c r="G76" s="30" t="str">
        <x:v>ページ</x:v>
      </x:c>
      <x:c r="H76" s="30" t="str">
        <x:v>/company/reviews/users/{targetId}/edit</x:v>
      </x:c>
      <x:c r="I76" s="30" t="str">
        <x:v>必要</x:v>
      </x:c>
      <x:c r="J76" s="30" t="str">
        <x:v>23,24,25</x:v>
      </x:c>
      <x:c r="K76" s="30" t="str">
        <x:v>〇</x:v>
      </x:c>
      <x:c r="L76" s="30" t="str">
        <x:v>第1段階</x:v>
      </x:c>
      <x:c r="M76" s="30" t="str">
        <x:v>無料</x:v>
      </x:c>
      <x:c r="N76" s="30" t="str">
        <x:v>最優先</x:v>
      </x:c>
      <x:c r="O76" s="30" t="str">
        <x:v>PC中心</x:v>
      </x:c>
      <x:c r="P76" s="30" t="str">
        <x:v>未着手</x:v>
      </x:c>
      <x:c r="Q76" s="30" t="str"/>
      <x:c r="R76" s="79" t="str">
        <x:v>RT-0109</x:v>
      </x:c>
      <x:c r="S76" s="80" t="str">
        <x:v>CompanyReviewController</x:v>
      </x:c>
      <x:c r="T76" s="81" t="str">
        <x:v>company/reviews/users/form</x:v>
      </x:c>
    </x:row>
    <x:row r="77" ht="34" customHeight="1">
      <x:c r="A77" s="30" t="n">
        <x:v>74</x:v>
      </x:c>
      <x:c r="B77" s="30" t="str">
        <x:v>SC-CO-024</x:v>
      </x:c>
      <x:c r="C77" s="30" t="str">
        <x:v>企業</x:v>
      </x:c>
      <x:c r="D77" s="30" t="str">
        <x:v>評価</x:v>
      </x:c>
      <x:c r="E77" s="30" t="str">
        <x:v>ユーザー評価確認・確定</x:v>
      </x:c>
      <x:c r="F77" s="30" t="str">
        <x:v>評価内容と禁止事項を確認し、評価を確定する</x:v>
      </x:c>
      <x:c r="G77" s="30" t="str">
        <x:v>ページ</x:v>
      </x:c>
      <x:c r="H77" s="30" t="str">
        <x:v>/company/reviews/users/{targetId}/confirm</x:v>
      </x:c>
      <x:c r="I77" s="30" t="str">
        <x:v>必要</x:v>
      </x:c>
      <x:c r="J77" s="30" t="str">
        <x:v>25,75</x:v>
      </x:c>
      <x:c r="K77" s="30" t="str">
        <x:v>〇</x:v>
      </x:c>
      <x:c r="L77" s="30" t="str">
        <x:v>第1段階</x:v>
      </x:c>
      <x:c r="M77" s="30" t="str">
        <x:v>無料</x:v>
      </x:c>
      <x:c r="N77" s="30" t="str">
        <x:v>高</x:v>
      </x:c>
      <x:c r="O77" s="30" t="str">
        <x:v>PC中心</x:v>
      </x:c>
      <x:c r="P77" s="30" t="str">
        <x:v>未着手</x:v>
      </x:c>
      <x:c r="Q77" s="30" t="str"/>
      <x:c r="R77" s="79" t="str">
        <x:v>RT-0111</x:v>
      </x:c>
      <x:c r="S77" s="80" t="str">
        <x:v>CompanyReviewController</x:v>
      </x:c>
      <x:c r="T77" s="81" t="str">
        <x:v>company/reviews/users/confirm</x:v>
      </x:c>
    </x:row>
    <x:row r="78" ht="34" customHeight="1">
      <x:c r="A78" s="30" t="n">
        <x:v>75</x:v>
      </x:c>
      <x:c r="B78" s="30" t="str">
        <x:v>SC-CO-025</x:v>
      </x:c>
      <x:c r="C78" s="30" t="str">
        <x:v>企業</x:v>
      </x:c>
      <x:c r="D78" s="30" t="str">
        <x:v>評価</x:v>
      </x:c>
      <x:c r="E78" s="30" t="str">
        <x:v>評価協力率・料金見込み</x:v>
      </x:c>
      <x:c r="F78" s="30" t="str">
        <x:v>採用数、評価完了数、評価協力率、適用予定料金を表示する</x:v>
      </x:c>
      <x:c r="G78" s="30" t="str">
        <x:v>ページ</x:v>
      </x:c>
      <x:c r="H78" s="30" t="str">
        <x:v>/company/reviews/cooperation-rate</x:v>
      </x:c>
      <x:c r="I78" s="30" t="str">
        <x:v>必要</x:v>
      </x:c>
      <x:c r="J78" s="30" t="str">
        <x:v>26,90,91</x:v>
      </x:c>
      <x:c r="K78" s="30" t="str">
        <x:v>〇</x:v>
      </x:c>
      <x:c r="L78" s="30" t="str">
        <x:v>第1段階</x:v>
      </x:c>
      <x:c r="M78" s="30" t="str">
        <x:v>無料・有料共通</x:v>
      </x:c>
      <x:c r="N78" s="30" t="str">
        <x:v>最優先</x:v>
      </x:c>
      <x:c r="O78" s="30" t="str">
        <x:v>PC中心</x:v>
      </x:c>
      <x:c r="P78" s="30" t="str">
        <x:v>未着手</x:v>
      </x:c>
      <x:c r="Q78" s="30" t="str"/>
      <x:c r="R78" s="79" t="str">
        <x:v>RT-0113</x:v>
      </x:c>
      <x:c r="S78" s="80" t="str">
        <x:v>CompanyReviewController</x:v>
      </x:c>
      <x:c r="T78" s="81" t="str">
        <x:v>company/reviews/cooperation-rate</x:v>
      </x:c>
    </x:row>
    <x:row r="79" ht="34" customHeight="1">
      <x:c r="A79" s="30" t="n">
        <x:v>76</x:v>
      </x:c>
      <x:c r="B79" s="30" t="str">
        <x:v>SC-CO-026</x:v>
      </x:c>
      <x:c r="C79" s="30" t="str">
        <x:v>企業</x:v>
      </x:c>
      <x:c r="D79" s="30" t="str">
        <x:v>評価</x:v>
      </x:c>
      <x:c r="E79" s="30" t="str">
        <x:v>企業への評価・公式返信</x:v>
      </x:c>
      <x:c r="F79" s="30" t="str">
        <x:v>ユーザーから受けた企業評価を確認し、許可範囲で公式返信する</x:v>
      </x:c>
      <x:c r="G79" s="30" t="str">
        <x:v>ページ</x:v>
      </x:c>
      <x:c r="H79" s="30" t="str">
        <x:v>/company/reviews/received</x:v>
      </x:c>
      <x:c r="I79" s="30" t="str">
        <x:v>必要</x:v>
      </x:c>
      <x:c r="J79" s="30" t="str">
        <x:v>27,57,75</x:v>
      </x:c>
      <x:c r="K79" s="30" t="str">
        <x:v>△</x:v>
      </x:c>
      <x:c r="L79" s="30" t="str">
        <x:v>第2段階</x:v>
      </x:c>
      <x:c r="M79" s="30" t="str">
        <x:v>一部有料</x:v>
      </x:c>
      <x:c r="N79" s="30" t="str">
        <x:v>中</x:v>
      </x:c>
      <x:c r="O79" s="30" t="str">
        <x:v>PC中心</x:v>
      </x:c>
      <x:c r="P79" s="30" t="str">
        <x:v>未着手</x:v>
      </x:c>
      <x:c r="Q79" s="30" t="str"/>
      <x:c r="R79" s="79" t="str">
        <x:v>RT-0114</x:v>
      </x:c>
      <x:c r="S79" s="80" t="str">
        <x:v>CompanyReviewController</x:v>
      </x:c>
      <x:c r="T79" s="81" t="str">
        <x:v>company/reviews/received</x:v>
      </x:c>
    </x:row>
    <x:row r="80" ht="34" customHeight="1">
      <x:c r="A80" s="30" t="n">
        <x:v>77</x:v>
      </x:c>
      <x:c r="B80" s="30" t="str">
        <x:v>SC-CO-027</x:v>
      </x:c>
      <x:c r="C80" s="30" t="str">
        <x:v>企業</x:v>
      </x:c>
      <x:c r="D80" s="30" t="str">
        <x:v>従業員管理</x:v>
      </x:c>
      <x:c r="E80" s="30" t="str">
        <x:v>採用者の従業員登録</x:v>
      </x:c>
      <x:c r="F80" s="30" t="str">
        <x:v>採用済みユーザーを従業員へ登録し、基本契約情報を設定する</x:v>
      </x:c>
      <x:c r="G80" s="30" t="str">
        <x:v>ページ</x:v>
      </x:c>
      <x:c r="H80" s="30" t="str">
        <x:v>/company/employees/register/{applicationId}</x:v>
      </x:c>
      <x:c r="I80" s="30" t="str">
        <x:v>必要</x:v>
      </x:c>
      <x:c r="J80" s="30" t="str">
        <x:v>28,31</x:v>
      </x:c>
      <x:c r="K80" s="30" t="str">
        <x:v>×</x:v>
      </x:c>
      <x:c r="L80" s="30" t="str">
        <x:v>第3段階</x:v>
      </x:c>
      <x:c r="M80" s="30" t="str">
        <x:v>有料</x:v>
      </x:c>
      <x:c r="N80" s="30" t="str">
        <x:v>高</x:v>
      </x:c>
      <x:c r="O80" s="30" t="str">
        <x:v>PC中心</x:v>
      </x:c>
      <x:c r="P80" s="30" t="str">
        <x:v>未着手</x:v>
      </x:c>
      <x:c r="Q80" s="30" t="str"/>
      <x:c r="R80" s="79" t="str">
        <x:v>RT-0116</x:v>
      </x:c>
      <x:c r="S80" s="80" t="str">
        <x:v>CompanyEmployeeController</x:v>
      </x:c>
      <x:c r="T80" s="81" t="str">
        <x:v>company/employees/register/detail</x:v>
      </x:c>
    </x:row>
    <x:row r="81" ht="34" customHeight="1">
      <x:c r="A81" s="30" t="n">
        <x:v>78</x:v>
      </x:c>
      <x:c r="B81" s="30" t="str">
        <x:v>SC-CO-028</x:v>
      </x:c>
      <x:c r="C81" s="30" t="str">
        <x:v>企業</x:v>
      </x:c>
      <x:c r="D81" s="30" t="str">
        <x:v>従業員管理</x:v>
      </x:c>
      <x:c r="E81" s="30" t="str">
        <x:v>従業員一覧</x:v>
      </x:c>
      <x:c r="F81" s="30" t="str">
        <x:v>在籍、休職、退職、部署などで従業員を検索する</x:v>
      </x:c>
      <x:c r="G81" s="30" t="str">
        <x:v>ページ</x:v>
      </x:c>
      <x:c r="H81" s="30" t="str">
        <x:v>/company/employees</x:v>
      </x:c>
      <x:c r="I81" s="30" t="str">
        <x:v>必要</x:v>
      </x:c>
      <x:c r="J81" s="30" t="str">
        <x:v>29</x:v>
      </x:c>
      <x:c r="K81" s="30" t="str">
        <x:v>×</x:v>
      </x:c>
      <x:c r="L81" s="30" t="str">
        <x:v>第3段階</x:v>
      </x:c>
      <x:c r="M81" s="30" t="str">
        <x:v>有料</x:v>
      </x:c>
      <x:c r="N81" s="30" t="str">
        <x:v>高</x:v>
      </x:c>
      <x:c r="O81" s="30" t="str">
        <x:v>PC中心</x:v>
      </x:c>
      <x:c r="P81" s="30" t="str">
        <x:v>未着手</x:v>
      </x:c>
      <x:c r="Q81" s="30" t="str"/>
      <x:c r="R81" s="79" t="str">
        <x:v>RT-0118</x:v>
      </x:c>
      <x:c r="S81" s="80" t="str">
        <x:v>CompanyEmployeeController</x:v>
      </x:c>
      <x:c r="T81" s="81" t="str">
        <x:v>company/employees</x:v>
      </x:c>
    </x:row>
    <x:row r="82" ht="34" customHeight="1">
      <x:c r="A82" s="30" t="n">
        <x:v>79</x:v>
      </x:c>
      <x:c r="B82" s="30" t="str">
        <x:v>SC-CO-029</x:v>
      </x:c>
      <x:c r="C82" s="30" t="str">
        <x:v>企業</x:v>
      </x:c>
      <x:c r="D82" s="30" t="str">
        <x:v>従業員管理</x:v>
      </x:c>
      <x:c r="E82" s="30" t="str">
        <x:v>従業員詳細</x:v>
      </x:c>
      <x:c r="F82" s="30" t="str">
        <x:v>所属、契約、書類、勤怠、休職・退職履歴を表示する</x:v>
      </x:c>
      <x:c r="G82" s="30" t="str">
        <x:v>ページ</x:v>
      </x:c>
      <x:c r="H82" s="30" t="str">
        <x:v>/company/employees/{employeeId}</x:v>
      </x:c>
      <x:c r="I82" s="30" t="str">
        <x:v>必要</x:v>
      </x:c>
      <x:c r="J82" s="30" t="str">
        <x:v>29,30,31,32,33</x:v>
      </x:c>
      <x:c r="K82" s="30" t="str">
        <x:v>×</x:v>
      </x:c>
      <x:c r="L82" s="30" t="str">
        <x:v>第3段階</x:v>
      </x:c>
      <x:c r="M82" s="30" t="str">
        <x:v>有料</x:v>
      </x:c>
      <x:c r="N82" s="30" t="str">
        <x:v>高</x:v>
      </x:c>
      <x:c r="O82" s="30" t="str">
        <x:v>PC中心</x:v>
      </x:c>
      <x:c r="P82" s="30" t="str">
        <x:v>未着手</x:v>
      </x:c>
      <x:c r="Q82" s="30" t="str"/>
      <x:c r="R82" s="79" t="str">
        <x:v>RT-0119</x:v>
      </x:c>
      <x:c r="S82" s="80" t="str">
        <x:v>CompanyEmployeeController</x:v>
      </x:c>
      <x:c r="T82" s="81" t="str">
        <x:v>company/employees/detail</x:v>
      </x:c>
    </x:row>
    <x:row r="83" ht="34" customHeight="1">
      <x:c r="A83" s="30" t="n">
        <x:v>80</x:v>
      </x:c>
      <x:c r="B83" s="30" t="str">
        <x:v>SC-CO-030</x:v>
      </x:c>
      <x:c r="C83" s="30" t="str">
        <x:v>企業</x:v>
      </x:c>
      <x:c r="D83" s="30" t="str">
        <x:v>従業員管理</x:v>
      </x:c>
      <x:c r="E83" s="30" t="str">
        <x:v>部署・所属管理</x:v>
      </x:c>
      <x:c r="F83" s="30" t="str">
        <x:v>部署、役職、拠点を登録し、従業員へ割り当てる</x:v>
      </x:c>
      <x:c r="G83" s="30" t="str">
        <x:v>ページ</x:v>
      </x:c>
      <x:c r="H83" s="30" t="str">
        <x:v>/company/departments</x:v>
      </x:c>
      <x:c r="I83" s="30" t="str">
        <x:v>必要</x:v>
      </x:c>
      <x:c r="J83" s="30" t="str">
        <x:v>30</x:v>
      </x:c>
      <x:c r="K83" s="30" t="str">
        <x:v>×</x:v>
      </x:c>
      <x:c r="L83" s="30" t="str">
        <x:v>第3段階</x:v>
      </x:c>
      <x:c r="M83" s="30" t="str">
        <x:v>有料</x:v>
      </x:c>
      <x:c r="N83" s="30" t="str">
        <x:v>中</x:v>
      </x:c>
      <x:c r="O83" s="30" t="str">
        <x:v>PC中心</x:v>
      </x:c>
      <x:c r="P83" s="30" t="str">
        <x:v>未着手</x:v>
      </x:c>
      <x:c r="Q83" s="30" t="str"/>
      <x:c r="R83" s="79" t="str">
        <x:v>RT-0120</x:v>
      </x:c>
      <x:c r="S83" s="80" t="str">
        <x:v>CompanyDepartmentController</x:v>
      </x:c>
      <x:c r="T83" s="81" t="str">
        <x:v>company/departments</x:v>
      </x:c>
    </x:row>
    <x:row r="84" ht="34" customHeight="1">
      <x:c r="A84" s="30" t="n">
        <x:v>81</x:v>
      </x:c>
      <x:c r="B84" s="30" t="str">
        <x:v>SC-CO-031</x:v>
      </x:c>
      <x:c r="C84" s="30" t="str">
        <x:v>企業</x:v>
      </x:c>
      <x:c r="D84" s="30" t="str">
        <x:v>従業員管理</x:v>
      </x:c>
      <x:c r="E84" s="30" t="str">
        <x:v>雇用契約管理</x:v>
      </x:c>
      <x:c r="F84" s="30" t="str">
        <x:v>雇用形態、契約期間、給与条件、更新履歴を管理する</x:v>
      </x:c>
      <x:c r="G84" s="30" t="str">
        <x:v>ページ</x:v>
      </x:c>
      <x:c r="H84" s="30" t="str">
        <x:v>/company/employees/{employeeId}/contracts</x:v>
      </x:c>
      <x:c r="I84" s="30" t="str">
        <x:v>必要</x:v>
      </x:c>
      <x:c r="J84" s="30" t="str">
        <x:v>31</x:v>
      </x:c>
      <x:c r="K84" s="30" t="str">
        <x:v>×</x:v>
      </x:c>
      <x:c r="L84" s="30" t="str">
        <x:v>第3段階</x:v>
      </x:c>
      <x:c r="M84" s="30" t="str">
        <x:v>有料</x:v>
      </x:c>
      <x:c r="N84" s="30" t="str">
        <x:v>高</x:v>
      </x:c>
      <x:c r="O84" s="30" t="str">
        <x:v>PC中心</x:v>
      </x:c>
      <x:c r="P84" s="30" t="str">
        <x:v>未着手</x:v>
      </x:c>
      <x:c r="Q84" s="30" t="str"/>
      <x:c r="R84" s="79" t="str">
        <x:v>RT-0122</x:v>
      </x:c>
      <x:c r="S84" s="80" t="str">
        <x:v>CompanyEmployeeController</x:v>
      </x:c>
      <x:c r="T84" s="81" t="str">
        <x:v>company/employees/contracts</x:v>
      </x:c>
    </x:row>
    <x:row r="85" ht="34" customHeight="1">
      <x:c r="A85" s="30" t="n">
        <x:v>82</x:v>
      </x:c>
      <x:c r="B85" s="30" t="str">
        <x:v>SC-CO-032</x:v>
      </x:c>
      <x:c r="C85" s="30" t="str">
        <x:v>企業</x:v>
      </x:c>
      <x:c r="D85" s="30" t="str">
        <x:v>従業員管理</x:v>
      </x:c>
      <x:c r="E85" s="30" t="str">
        <x:v>従業員書類管理</x:v>
      </x:c>
      <x:c r="F85" s="30" t="str">
        <x:v>契約書、誓約書などをアップロード・閲覧する</x:v>
      </x:c>
      <x:c r="G85" s="30" t="str">
        <x:v>ページ</x:v>
      </x:c>
      <x:c r="H85" s="30" t="str">
        <x:v>/company/employees/{employeeId}/documents</x:v>
      </x:c>
      <x:c r="I85" s="30" t="str">
        <x:v>必要</x:v>
      </x:c>
      <x:c r="J85" s="30" t="str">
        <x:v>32</x:v>
      </x:c>
      <x:c r="K85" s="30" t="str">
        <x:v>×</x:v>
      </x:c>
      <x:c r="L85" s="30" t="str">
        <x:v>第3段階</x:v>
      </x:c>
      <x:c r="M85" s="30" t="str">
        <x:v>有料</x:v>
      </x:c>
      <x:c r="N85" s="30" t="str">
        <x:v>中</x:v>
      </x:c>
      <x:c r="O85" s="30" t="str">
        <x:v>PC中心</x:v>
      </x:c>
      <x:c r="P85" s="30" t="str">
        <x:v>未着手</x:v>
      </x:c>
      <x:c r="Q85" s="30" t="str"/>
      <x:c r="R85" s="79" t="str">
        <x:v>RT-0124</x:v>
      </x:c>
      <x:c r="S85" s="80" t="str">
        <x:v>CompanyEmployeeController</x:v>
      </x:c>
      <x:c r="T85" s="81" t="str">
        <x:v>company/employees/documents</x:v>
      </x:c>
    </x:row>
    <x:row r="86" ht="34" customHeight="1">
      <x:c r="A86" s="30" t="n">
        <x:v>83</x:v>
      </x:c>
      <x:c r="B86" s="30" t="str">
        <x:v>SC-CO-033</x:v>
      </x:c>
      <x:c r="C86" s="30" t="str">
        <x:v>企業</x:v>
      </x:c>
      <x:c r="D86" s="30" t="str">
        <x:v>従業員管理</x:v>
      </x:c>
      <x:c r="E86" s="30" t="str">
        <x:v>休職・退職登録</x:v>
      </x:c>
      <x:c r="F86" s="30" t="str">
        <x:v>休職期間、退職日、理由、状態変更履歴を登録する</x:v>
      </x:c>
      <x:c r="G86" s="30" t="str">
        <x:v>ページ／ダイアログ</x:v>
      </x:c>
      <x:c r="H86" s="30" t="str">
        <x:v>/company/employees/{employeeId}/status</x:v>
      </x:c>
      <x:c r="I86" s="30" t="str">
        <x:v>必要</x:v>
      </x:c>
      <x:c r="J86" s="30" t="str">
        <x:v>33</x:v>
      </x:c>
      <x:c r="K86" s="30" t="str">
        <x:v>×</x:v>
      </x:c>
      <x:c r="L86" s="30" t="str">
        <x:v>第3段階</x:v>
      </x:c>
      <x:c r="M86" s="30" t="str">
        <x:v>有料</x:v>
      </x:c>
      <x:c r="N86" s="30" t="str">
        <x:v>中</x:v>
      </x:c>
      <x:c r="O86" s="30" t="str">
        <x:v>PC中心</x:v>
      </x:c>
      <x:c r="P86" s="30" t="str">
        <x:v>未着手</x:v>
      </x:c>
      <x:c r="Q86" s="30" t="str"/>
      <x:c r="R86" s="79" t="str">
        <x:v>RT-0126</x:v>
      </x:c>
      <x:c r="S86" s="80" t="str">
        <x:v>CompanyEmployeeController</x:v>
      </x:c>
      <x:c r="T86" s="81" t="str">
        <x:v>company/employees/status</x:v>
      </x:c>
    </x:row>
    <x:row r="87" ht="34" customHeight="1">
      <x:c r="A87" s="30" t="n">
        <x:v>84</x:v>
      </x:c>
      <x:c r="B87" s="30" t="str">
        <x:v>SC-CO-034</x:v>
      </x:c>
      <x:c r="C87" s="30" t="str">
        <x:v>企業</x:v>
      </x:c>
      <x:c r="D87" s="30" t="str">
        <x:v>勤怠</x:v>
      </x:c>
      <x:c r="E87" s="30" t="str">
        <x:v>勤怠管理ダッシュボード</x:v>
      </x:c>
      <x:c r="F87" s="30" t="str">
        <x:v>当日の出勤状況、未打刻、申請、月次締め状況を表示する</x:v>
      </x:c>
      <x:c r="G87" s="30" t="str">
        <x:v>ページ</x:v>
      </x:c>
      <x:c r="H87" s="30" t="str">
        <x:v>/company/attendance</x:v>
      </x:c>
      <x:c r="I87" s="30" t="str">
        <x:v>必要</x:v>
      </x:c>
      <x:c r="J87" s="30" t="str">
        <x:v>34,35,37,38,39</x:v>
      </x:c>
      <x:c r="K87" s="30" t="str">
        <x:v>×</x:v>
      </x:c>
      <x:c r="L87" s="30" t="str">
        <x:v>第4段階</x:v>
      </x:c>
      <x:c r="M87" s="30" t="str">
        <x:v>有料</x:v>
      </x:c>
      <x:c r="N87" s="30" t="str">
        <x:v>高</x:v>
      </x:c>
      <x:c r="O87" s="30" t="str">
        <x:v>PC中心</x:v>
      </x:c>
      <x:c r="P87" s="30" t="str">
        <x:v>未着手</x:v>
      </x:c>
      <x:c r="Q87" s="30" t="str"/>
      <x:c r="R87" s="79" t="str">
        <x:v>RT-0128</x:v>
      </x:c>
      <x:c r="S87" s="80" t="str">
        <x:v>CompanyAttendanceController</x:v>
      </x:c>
      <x:c r="T87" s="81" t="str">
        <x:v>company/attendance</x:v>
      </x:c>
    </x:row>
    <x:row r="88" ht="34" customHeight="1">
      <x:c r="A88" s="30" t="n">
        <x:v>85</x:v>
      </x:c>
      <x:c r="B88" s="30" t="str">
        <x:v>SC-CO-035</x:v>
      </x:c>
      <x:c r="C88" s="30" t="str">
        <x:v>企業</x:v>
      </x:c>
      <x:c r="D88" s="30" t="str">
        <x:v>勤怠</x:v>
      </x:c>
      <x:c r="E88" s="30" t="str">
        <x:v>日別勤怠一覧</x:v>
      </x:c>
      <x:c r="F88" s="30" t="str">
        <x:v>従業員ごとの出退勤、休憩、勤務時間、異常を表示する</x:v>
      </x:c>
      <x:c r="G88" s="30" t="str">
        <x:v>ページ</x:v>
      </x:c>
      <x:c r="H88" s="30" t="str">
        <x:v>/company/attendance/daily</x:v>
      </x:c>
      <x:c r="I88" s="30" t="str">
        <x:v>必要</x:v>
      </x:c>
      <x:c r="J88" s="30" t="str">
        <x:v>34,35,38</x:v>
      </x:c>
      <x:c r="K88" s="30" t="str">
        <x:v>×</x:v>
      </x:c>
      <x:c r="L88" s="30" t="str">
        <x:v>第4段階</x:v>
      </x:c>
      <x:c r="M88" s="30" t="str">
        <x:v>有料</x:v>
      </x:c>
      <x:c r="N88" s="30" t="str">
        <x:v>高</x:v>
      </x:c>
      <x:c r="O88" s="30" t="str">
        <x:v>PC中心</x:v>
      </x:c>
      <x:c r="P88" s="30" t="str">
        <x:v>未着手</x:v>
      </x:c>
      <x:c r="Q88" s="30" t="str"/>
      <x:c r="R88" s="79" t="str">
        <x:v>RT-0129</x:v>
      </x:c>
      <x:c r="S88" s="80" t="str">
        <x:v>CompanyAttendanceController</x:v>
      </x:c>
      <x:c r="T88" s="81" t="str">
        <x:v>company/attendance/daily</x:v>
      </x:c>
    </x:row>
    <x:row r="89" ht="34" customHeight="1">
      <x:c r="A89" s="30" t="n">
        <x:v>86</x:v>
      </x:c>
      <x:c r="B89" s="30" t="str">
        <x:v>SC-CO-036</x:v>
      </x:c>
      <x:c r="C89" s="30" t="str">
        <x:v>企業</x:v>
      </x:c>
      <x:c r="D89" s="30" t="str">
        <x:v>勤怠</x:v>
      </x:c>
      <x:c r="E89" s="30" t="str">
        <x:v>シフト管理</x:v>
      </x:c>
      <x:c r="F89" s="30" t="str">
        <x:v>日・週・月単位でシフトを登録・変更する</x:v>
      </x:c>
      <x:c r="G89" s="30" t="str">
        <x:v>ページ</x:v>
      </x:c>
      <x:c r="H89" s="30" t="str">
        <x:v>/company/shifts</x:v>
      </x:c>
      <x:c r="I89" s="30" t="str">
        <x:v>必要</x:v>
      </x:c>
      <x:c r="J89" s="30" t="str">
        <x:v>36</x:v>
      </x:c>
      <x:c r="K89" s="30" t="str">
        <x:v>×</x:v>
      </x:c>
      <x:c r="L89" s="30" t="str">
        <x:v>第4段階</x:v>
      </x:c>
      <x:c r="M89" s="30" t="str">
        <x:v>有料</x:v>
      </x:c>
      <x:c r="N89" s="30" t="str">
        <x:v>中</x:v>
      </x:c>
      <x:c r="O89" s="30" t="str">
        <x:v>PC中心</x:v>
      </x:c>
      <x:c r="P89" s="30" t="str">
        <x:v>未着手</x:v>
      </x:c>
      <x:c r="Q89" s="30" t="str"/>
      <x:c r="R89" s="79" t="str">
        <x:v>RT-0130</x:v>
      </x:c>
      <x:c r="S89" s="80" t="str">
        <x:v>CompanyShiftController</x:v>
      </x:c>
      <x:c r="T89" s="81" t="str">
        <x:v>company/shifts</x:v>
      </x:c>
    </x:row>
    <x:row r="90" ht="34" customHeight="1">
      <x:c r="A90" s="30" t="n">
        <x:v>87</x:v>
      </x:c>
      <x:c r="B90" s="30" t="str">
        <x:v>SC-CO-037</x:v>
      </x:c>
      <x:c r="C90" s="30" t="str">
        <x:v>企業</x:v>
      </x:c>
      <x:c r="D90" s="30" t="str">
        <x:v>勤怠</x:v>
      </x:c>
      <x:c r="E90" s="30" t="str">
        <x:v>休暇申請承認</x:v>
      </x:c>
      <x:c r="F90" s="30" t="str">
        <x:v>従業員からの休暇申請を確認し、承認・却下する</x:v>
      </x:c>
      <x:c r="G90" s="30" t="str">
        <x:v>ページ</x:v>
      </x:c>
      <x:c r="H90" s="30" t="str">
        <x:v>/company/leave-requests</x:v>
      </x:c>
      <x:c r="I90" s="30" t="str">
        <x:v>必要</x:v>
      </x:c>
      <x:c r="J90" s="30" t="str">
        <x:v>37</x:v>
      </x:c>
      <x:c r="K90" s="30" t="str">
        <x:v>×</x:v>
      </x:c>
      <x:c r="L90" s="30" t="str">
        <x:v>第4段階</x:v>
      </x:c>
      <x:c r="M90" s="30" t="str">
        <x:v>有料</x:v>
      </x:c>
      <x:c r="N90" s="30" t="str">
        <x:v>中</x:v>
      </x:c>
      <x:c r="O90" s="30" t="str">
        <x:v>PC中心</x:v>
      </x:c>
      <x:c r="P90" s="30" t="str">
        <x:v>未着手</x:v>
      </x:c>
      <x:c r="Q90" s="30" t="str"/>
      <x:c r="R90" s="79" t="str">
        <x:v>RT-0132</x:v>
      </x:c>
      <x:c r="S90" s="80" t="str">
        <x:v>CompanyLeaveRequestController</x:v>
      </x:c>
      <x:c r="T90" s="81" t="str">
        <x:v>company/leave-requests</x:v>
      </x:c>
    </x:row>
    <x:row r="91" ht="34" customHeight="1">
      <x:c r="A91" s="30" t="n">
        <x:v>88</x:v>
      </x:c>
      <x:c r="B91" s="30" t="str">
        <x:v>SC-CO-038</x:v>
      </x:c>
      <x:c r="C91" s="30" t="str">
        <x:v>企業</x:v>
      </x:c>
      <x:c r="D91" s="30" t="str">
        <x:v>勤怠</x:v>
      </x:c>
      <x:c r="E91" s="30" t="str">
        <x:v>勤怠修正申請承認</x:v>
      </x:c>
      <x:c r="F91" s="30" t="str">
        <x:v>修正前後の打刻を確認し、承認・却下する</x:v>
      </x:c>
      <x:c r="G91" s="30" t="str">
        <x:v>ページ</x:v>
      </x:c>
      <x:c r="H91" s="30" t="str">
        <x:v>/company/attendance/corrections</x:v>
      </x:c>
      <x:c r="I91" s="30" t="str">
        <x:v>必要</x:v>
      </x:c>
      <x:c r="J91" s="30" t="str">
        <x:v>38</x:v>
      </x:c>
      <x:c r="K91" s="30" t="str">
        <x:v>×</x:v>
      </x:c>
      <x:c r="L91" s="30" t="str">
        <x:v>第4段階</x:v>
      </x:c>
      <x:c r="M91" s="30" t="str">
        <x:v>有料</x:v>
      </x:c>
      <x:c r="N91" s="30" t="str">
        <x:v>中</x:v>
      </x:c>
      <x:c r="O91" s="30" t="str">
        <x:v>PC中心</x:v>
      </x:c>
      <x:c r="P91" s="30" t="str">
        <x:v>未着手</x:v>
      </x:c>
      <x:c r="Q91" s="30" t="str"/>
      <x:c r="R91" s="79" t="str">
        <x:v>RT-0134</x:v>
      </x:c>
      <x:c r="S91" s="80" t="str">
        <x:v>CompanyAttendanceController</x:v>
      </x:c>
      <x:c r="T91" s="81" t="str">
        <x:v>company/attendance/corrections</x:v>
      </x:c>
    </x:row>
    <x:row r="92" ht="34" customHeight="1">
      <x:c r="A92" s="30" t="n">
        <x:v>89</x:v>
      </x:c>
      <x:c r="B92" s="30" t="str">
        <x:v>SC-CO-039</x:v>
      </x:c>
      <x:c r="C92" s="30" t="str">
        <x:v>企業</x:v>
      </x:c>
      <x:c r="D92" s="30" t="str">
        <x:v>勤怠</x:v>
      </x:c>
      <x:c r="E92" s="30" t="str">
        <x:v>月次勤怠締め</x:v>
      </x:c>
      <x:c r="F92" s="30" t="str">
        <x:v>月ごとの勤怠集計を確認し、確定・再開する</x:v>
      </x:c>
      <x:c r="G92" s="30" t="str">
        <x:v>ページ</x:v>
      </x:c>
      <x:c r="H92" s="30" t="str">
        <x:v>/company/attendance/monthly-close</x:v>
      </x:c>
      <x:c r="I92" s="30" t="str">
        <x:v>必要</x:v>
      </x:c>
      <x:c r="J92" s="30" t="str">
        <x:v>39</x:v>
      </x:c>
      <x:c r="K92" s="30" t="str">
        <x:v>×</x:v>
      </x:c>
      <x:c r="L92" s="30" t="str">
        <x:v>第4段階</x:v>
      </x:c>
      <x:c r="M92" s="30" t="str">
        <x:v>有料</x:v>
      </x:c>
      <x:c r="N92" s="30" t="str">
        <x:v>中</x:v>
      </x:c>
      <x:c r="O92" s="30" t="str">
        <x:v>PC中心</x:v>
      </x:c>
      <x:c r="P92" s="30" t="str">
        <x:v>未着手</x:v>
      </x:c>
      <x:c r="Q92" s="30" t="str"/>
      <x:c r="R92" s="79" t="str">
        <x:v>RT-0136</x:v>
      </x:c>
      <x:c r="S92" s="80" t="str">
        <x:v>CompanyAttendanceController</x:v>
      </x:c>
      <x:c r="T92" s="81" t="str">
        <x:v>company/attendance/monthly-close</x:v>
      </x:c>
    </x:row>
    <x:row r="93" ht="34" customHeight="1">
      <x:c r="A93" s="30" t="n">
        <x:v>90</x:v>
      </x:c>
      <x:c r="B93" s="30" t="str">
        <x:v>SC-CO-040</x:v>
      </x:c>
      <x:c r="C93" s="30" t="str">
        <x:v>企業</x:v>
      </x:c>
      <x:c r="D93" s="30" t="str">
        <x:v>勤怠</x:v>
      </x:c>
      <x:c r="E93" s="30" t="str">
        <x:v>勤怠データ出力</x:v>
      </x:c>
      <x:c r="F93" s="30" t="str">
        <x:v>期間、対象者、形式を指定してCSV・Excelを出力する</x:v>
      </x:c>
      <x:c r="G93" s="30" t="str">
        <x:v>ページ／ダイアログ</x:v>
      </x:c>
      <x:c r="H93" s="30" t="str">
        <x:v>/company/attendance/export</x:v>
      </x:c>
      <x:c r="I93" s="30" t="str">
        <x:v>必要</x:v>
      </x:c>
      <x:c r="J93" s="30" t="str">
        <x:v>40</x:v>
      </x:c>
      <x:c r="K93" s="30" t="str">
        <x:v>×</x:v>
      </x:c>
      <x:c r="L93" s="30" t="str">
        <x:v>第4段階</x:v>
      </x:c>
      <x:c r="M93" s="30" t="str">
        <x:v>有料</x:v>
      </x:c>
      <x:c r="N93" s="30" t="str">
        <x:v>中</x:v>
      </x:c>
      <x:c r="O93" s="30" t="str">
        <x:v>PC中心</x:v>
      </x:c>
      <x:c r="P93" s="30" t="str">
        <x:v>未着手</x:v>
      </x:c>
      <x:c r="Q93" s="30" t="str"/>
      <x:c r="R93" s="79" t="str">
        <x:v>RT-0138</x:v>
      </x:c>
      <x:c r="S93" s="80" t="str">
        <x:v>CompanyAttendanceController</x:v>
      </x:c>
      <x:c r="T93" s="81" t="str">
        <x:v>company/attendance/export</x:v>
      </x:c>
    </x:row>
    <x:row r="94" ht="34" customHeight="1">
      <x:c r="A94" s="30" t="n">
        <x:v>91</x:v>
      </x:c>
      <x:c r="B94" s="30" t="str">
        <x:v>SC-CO-041</x:v>
      </x:c>
      <x:c r="C94" s="30" t="str">
        <x:v>企業</x:v>
      </x:c>
      <x:c r="D94" s="30" t="str">
        <x:v>通知</x:v>
      </x:c>
      <x:c r="E94" s="30" t="str">
        <x:v>企業通知一覧</x:v>
      </x:c>
      <x:c r="F94" s="30" t="str">
        <x:v>応募、チャット、審査、評価、勤怠、請求の通知を表示する</x:v>
      </x:c>
      <x:c r="G94" s="30" t="str">
        <x:v>ページ</x:v>
      </x:c>
      <x:c r="H94" s="30" t="str">
        <x:v>/company/notifications</x:v>
      </x:c>
      <x:c r="I94" s="30" t="str">
        <x:v>必要</x:v>
      </x:c>
      <x:c r="J94" s="30" t="str">
        <x:v>77,79,80</x:v>
      </x:c>
      <x:c r="K94" s="30" t="str">
        <x:v>〇</x:v>
      </x:c>
      <x:c r="L94" s="30" t="str">
        <x:v>第1段階</x:v>
      </x:c>
      <x:c r="M94" s="30" t="str">
        <x:v>無料・有料共通</x:v>
      </x:c>
      <x:c r="N94" s="30" t="str">
        <x:v>高</x:v>
      </x:c>
      <x:c r="O94" s="30" t="str">
        <x:v>PC中心</x:v>
      </x:c>
      <x:c r="P94" s="30" t="str">
        <x:v>未着手</x:v>
      </x:c>
      <x:c r="Q94" s="30" t="str"/>
      <x:c r="R94" s="79" t="str">
        <x:v>RT-0140</x:v>
      </x:c>
      <x:c r="S94" s="80" t="str">
        <x:v>CompanyNotificationController</x:v>
      </x:c>
      <x:c r="T94" s="81" t="str">
        <x:v>company/notifications</x:v>
      </x:c>
    </x:row>
    <x:row r="95" ht="34" customHeight="1">
      <x:c r="A95" s="30" t="n">
        <x:v>92</x:v>
      </x:c>
      <x:c r="B95" s="30" t="str">
        <x:v>SC-CO-042</x:v>
      </x:c>
      <x:c r="C95" s="30" t="str">
        <x:v>企業</x:v>
      </x:c>
      <x:c r="D95" s="30" t="str">
        <x:v>料金・契約</x:v>
      </x:c>
      <x:c r="E95" s="30" t="str">
        <x:v>プラン・利用状況</x:v>
      </x:c>
      <x:c r="F95" s="30" t="str">
        <x:v>公開求人枠、採用実績、評価協力率、現在料金、機能制限を表示する</x:v>
      </x:c>
      <x:c r="G95" s="30" t="str">
        <x:v>ページ</x:v>
      </x:c>
      <x:c r="H95" s="30" t="str">
        <x:v>/company/billing/plan</x:v>
      </x:c>
      <x:c r="I95" s="30" t="str">
        <x:v>必要</x:v>
      </x:c>
      <x:c r="J95" s="30" t="str">
        <x:v>89,90,91,92</x:v>
      </x:c>
      <x:c r="K95" s="30" t="str">
        <x:v>〇</x:v>
      </x:c>
      <x:c r="L95" s="30" t="str">
        <x:v>第1段階</x:v>
      </x:c>
      <x:c r="M95" s="30" t="str">
        <x:v>無料・有料共通</x:v>
      </x:c>
      <x:c r="N95" s="30" t="str">
        <x:v>最優先</x:v>
      </x:c>
      <x:c r="O95" s="30" t="str">
        <x:v>PC中心</x:v>
      </x:c>
      <x:c r="P95" s="30" t="str">
        <x:v>未着手</x:v>
      </x:c>
      <x:c r="Q95" s="30" t="str"/>
      <x:c r="R95" s="79" t="str">
        <x:v>RT-0141</x:v>
      </x:c>
      <x:c r="S95" s="80" t="str">
        <x:v>CompanyBillingController</x:v>
      </x:c>
      <x:c r="T95" s="81" t="str">
        <x:v>company/billing/plan</x:v>
      </x:c>
    </x:row>
    <x:row r="96" ht="34" customHeight="1">
      <x:c r="A96" s="30" t="n">
        <x:v>93</x:v>
      </x:c>
      <x:c r="B96" s="30" t="str">
        <x:v>SC-CO-043</x:v>
      </x:c>
      <x:c r="C96" s="30" t="str">
        <x:v>企業</x:v>
      </x:c>
      <x:c r="D96" s="30" t="str">
        <x:v>料金・契約</x:v>
      </x:c>
      <x:c r="E96" s="30" t="str">
        <x:v>決済方法・請求履歴</x:v>
      </x:c>
      <x:c r="F96" s="30" t="str">
        <x:v>支払方法、請求額、支払状況、請求履歴を管理する</x:v>
      </x:c>
      <x:c r="G96" s="30" t="str">
        <x:v>ページ</x:v>
      </x:c>
      <x:c r="H96" s="30" t="str">
        <x:v>/company/billing</x:v>
      </x:c>
      <x:c r="I96" s="30" t="str">
        <x:v>必要</x:v>
      </x:c>
      <x:c r="J96" s="30" t="str">
        <x:v>92</x:v>
      </x:c>
      <x:c r="K96" s="30" t="str">
        <x:v>△</x:v>
      </x:c>
      <x:c r="L96" s="30" t="str">
        <x:v>第2段階</x:v>
      </x:c>
      <x:c r="M96" s="30" t="str">
        <x:v>有料</x:v>
      </x:c>
      <x:c r="N96" s="30" t="str">
        <x:v>高</x:v>
      </x:c>
      <x:c r="O96" s="30" t="str">
        <x:v>PC中心</x:v>
      </x:c>
      <x:c r="P96" s="30" t="str">
        <x:v>未着手</x:v>
      </x:c>
      <x:c r="Q96" s="30" t="str"/>
      <x:c r="R96" s="79" t="str">
        <x:v>RT-0143</x:v>
      </x:c>
      <x:c r="S96" s="80" t="str">
        <x:v>CompanyBillingController</x:v>
      </x:c>
      <x:c r="T96" s="81" t="str">
        <x:v>company/billing</x:v>
      </x:c>
    </x:row>
    <x:row r="97" ht="34" customHeight="1">
      <x:c r="A97" s="30" t="n">
        <x:v>94</x:v>
      </x:c>
      <x:c r="B97" s="30" t="str">
        <x:v>SC-CO-044</x:v>
      </x:c>
      <x:c r="C97" s="30" t="str">
        <x:v>企業</x:v>
      </x:c>
      <x:c r="D97" s="30" t="str">
        <x:v>セキュリティ</x:v>
      </x:c>
      <x:c r="E97" s="30" t="str">
        <x:v>操作履歴</x:v>
      </x:c>
      <x:c r="F97" s="30" t="str">
        <x:v>求人公開、選考変更、評価、契約、勤怠などの重要操作を確認する</x:v>
      </x:c>
      <x:c r="G97" s="30" t="str">
        <x:v>ページ</x:v>
      </x:c>
      <x:c r="H97" s="30" t="str">
        <x:v>/company/audit-logs</x:v>
      </x:c>
      <x:c r="I97" s="30" t="str">
        <x:v>必要</x:v>
      </x:c>
      <x:c r="J97" s="30" t="str">
        <x:v>82</x:v>
      </x:c>
      <x:c r="K97" s="30" t="str">
        <x:v>△</x:v>
      </x:c>
      <x:c r="L97" s="30" t="str">
        <x:v>第2段階</x:v>
      </x:c>
      <x:c r="M97" s="30" t="str">
        <x:v>有料</x:v>
      </x:c>
      <x:c r="N97" s="30" t="str">
        <x:v>中</x:v>
      </x:c>
      <x:c r="O97" s="30" t="str">
        <x:v>PC中心</x:v>
      </x:c>
      <x:c r="P97" s="30" t="str">
        <x:v>未着手</x:v>
      </x:c>
      <x:c r="Q97" s="30" t="str"/>
      <x:c r="R97" s="79" t="str">
        <x:v>RT-0145</x:v>
      </x:c>
      <x:c r="S97" s="80" t="str">
        <x:v>CompanyAuditLogController</x:v>
      </x:c>
      <x:c r="T97" s="81" t="str">
        <x:v>company/audit-logs</x:v>
      </x:c>
    </x:row>
    <x:row r="98" ht="34" customHeight="1">
      <x:c r="A98" s="30" t="n">
        <x:v>95</x:v>
      </x:c>
      <x:c r="B98" s="30" t="str">
        <x:v>SC-CO-045</x:v>
      </x:c>
      <x:c r="C98" s="30" t="str">
        <x:v>企業</x:v>
      </x:c>
      <x:c r="D98" s="30" t="str">
        <x:v>設定</x:v>
      </x:c>
      <x:c r="E98" s="30" t="str">
        <x:v>企業アカウント設定</x:v>
      </x:c>
      <x:c r="F98" s="30" t="str">
        <x:v>通知、セキュリティ、退会・利用停止に関する設定を行う</x:v>
      </x:c>
      <x:c r="G98" s="30" t="str">
        <x:v>ページ</x:v>
      </x:c>
      <x:c r="H98" s="30" t="str">
        <x:v>/company/settings</x:v>
      </x:c>
      <x:c r="I98" s="30" t="str">
        <x:v>必要</x:v>
      </x:c>
      <x:c r="J98" s="30" t="str">
        <x:v>80,81,83</x:v>
      </x:c>
      <x:c r="K98" s="30" t="str">
        <x:v>〇</x:v>
      </x:c>
      <x:c r="L98" s="30" t="str">
        <x:v>第1段階</x:v>
      </x:c>
      <x:c r="M98" s="30" t="str">
        <x:v>無料・有料共通</x:v>
      </x:c>
      <x:c r="N98" s="30" t="str">
        <x:v>高</x:v>
      </x:c>
      <x:c r="O98" s="30" t="str">
        <x:v>PC中心</x:v>
      </x:c>
      <x:c r="P98" s="30" t="str">
        <x:v>未着手</x:v>
      </x:c>
      <x:c r="Q98" s="30" t="str"/>
      <x:c r="R98" s="79" t="str">
        <x:v>RT-0146</x:v>
      </x:c>
      <x:c r="S98" s="80" t="str">
        <x:v>CompanySettingsController</x:v>
      </x:c>
      <x:c r="T98" s="81" t="str">
        <x:v>company/settings</x:v>
      </x:c>
    </x:row>
    <x:row r="99" ht="34" customHeight="1">
      <x:c r="A99" s="30" t="n">
        <x:v>96</x:v>
      </x:c>
      <x:c r="B99" s="30" t="str">
        <x:v>SC-AD-001</x:v>
      </x:c>
      <x:c r="C99" s="30" t="str">
        <x:v>運営</x:v>
      </x:c>
      <x:c r="D99" s="30" t="str">
        <x:v>認証</x:v>
      </x:c>
      <x:c r="E99" s="30" t="str">
        <x:v>運営管理ログイン</x:v>
      </x:c>
      <x:c r="F99" s="30" t="str">
        <x:v>運営管理者が管理画面へログインする</x:v>
      </x:c>
      <x:c r="G99" s="30" t="str">
        <x:v>ページ</x:v>
      </x:c>
      <x:c r="H99" s="30" t="str">
        <x:v>/admin/login</x:v>
      </x:c>
      <x:c r="I99" s="30" t="str">
        <x:v>不要</x:v>
      </x:c>
      <x:c r="J99" s="30" t="str">
        <x:v>43</x:v>
      </x:c>
      <x:c r="K99" s="30" t="str">
        <x:v>〇</x:v>
      </x:c>
      <x:c r="L99" s="30" t="str">
        <x:v>第1段階</x:v>
      </x:c>
      <x:c r="M99" s="30" t="str">
        <x:v>運営機能</x:v>
      </x:c>
      <x:c r="N99" s="30" t="str">
        <x:v>最優先</x:v>
      </x:c>
      <x:c r="O99" s="30" t="str">
        <x:v>PC</x:v>
      </x:c>
      <x:c r="P99" s="30" t="str">
        <x:v>未着手</x:v>
      </x:c>
      <x:c r="Q99" s="30" t="str"/>
      <x:c r="R99" s="79" t="str">
        <x:v>RT-0148</x:v>
      </x:c>
      <x:c r="S99" s="80" t="str">
        <x:v>AdminAuthenticationController</x:v>
      </x:c>
      <x:c r="T99" s="81" t="str">
        <x:v>admin/login</x:v>
      </x:c>
    </x:row>
    <x:row r="100" ht="34" customHeight="1">
      <x:c r="A100" s="30" t="n">
        <x:v>97</x:v>
      </x:c>
      <x:c r="B100" s="30" t="str">
        <x:v>SC-AD-002</x:v>
      </x:c>
      <x:c r="C100" s="30" t="str">
        <x:v>運営</x:v>
      </x:c>
      <x:c r="D100" s="30" t="str">
        <x:v>ダッシュボード</x:v>
      </x:c>
      <x:c r="E100" s="30" t="str">
        <x:v>運営ダッシュボード</x:v>
      </x:c>
      <x:c r="F100" s="30" t="str">
        <x:v>審査待ち、通報、利用状況、評価協力率、売上状況を表示する</x:v>
      </x:c>
      <x:c r="G100" s="30" t="str">
        <x:v>ページ</x:v>
      </x:c>
      <x:c r="H100" s="30" t="str">
        <x:v>/admin</x:v>
      </x:c>
      <x:c r="I100" s="30" t="str">
        <x:v>必要</x:v>
      </x:c>
      <x:c r="J100" s="30" t="str">
        <x:v>84,85,87,90,91,95</x:v>
      </x:c>
      <x:c r="K100" s="30" t="str">
        <x:v>〇</x:v>
      </x:c>
      <x:c r="L100" s="30" t="str">
        <x:v>第1段階</x:v>
      </x:c>
      <x:c r="M100" s="30" t="str">
        <x:v>運営機能</x:v>
      </x:c>
      <x:c r="N100" s="30" t="str">
        <x:v>最優先</x:v>
      </x:c>
      <x:c r="O100" s="30" t="str">
        <x:v>PC</x:v>
      </x:c>
      <x:c r="P100" s="30" t="str">
        <x:v>未着手</x:v>
      </x:c>
      <x:c r="Q100" s="30" t="str"/>
      <x:c r="R100" s="79" t="str">
        <x:v>RT-0150</x:v>
      </x:c>
      <x:c r="S100" s="80" t="str">
        <x:v>AdminDashboardController</x:v>
      </x:c>
      <x:c r="T100" s="81" t="str">
        <x:v>admin/dashboard</x:v>
      </x:c>
    </x:row>
    <x:row r="101" ht="34" customHeight="1">
      <x:c r="A101" s="30" t="n">
        <x:v>98</x:v>
      </x:c>
      <x:c r="B101" s="30" t="str">
        <x:v>SC-AD-003</x:v>
      </x:c>
      <x:c r="C101" s="30" t="str">
        <x:v>運営</x:v>
      </x:c>
      <x:c r="D101" s="30" t="str">
        <x:v>企業審査</x:v>
      </x:c>
      <x:c r="E101" s="30" t="str">
        <x:v>企業審査一覧</x:v>
      </x:c>
      <x:c r="F101" s="30" t="str">
        <x:v>申請中、差戻し、承認済み企業を検索・一覧表示する</x:v>
      </x:c>
      <x:c r="G101" s="30" t="str">
        <x:v>ページ</x:v>
      </x:c>
      <x:c r="H101" s="30" t="str">
        <x:v>/admin/company-reviews</x:v>
      </x:c>
      <x:c r="I101" s="30" t="str">
        <x:v>必要</x:v>
      </x:c>
      <x:c r="J101" s="30" t="str">
        <x:v>84</x:v>
      </x:c>
      <x:c r="K101" s="30" t="str">
        <x:v>〇</x:v>
      </x:c>
      <x:c r="L101" s="30" t="str">
        <x:v>第1段階</x:v>
      </x:c>
      <x:c r="M101" s="30" t="str">
        <x:v>運営機能</x:v>
      </x:c>
      <x:c r="N101" s="30" t="str">
        <x:v>最優先</x:v>
      </x:c>
      <x:c r="O101" s="30" t="str">
        <x:v>PC</x:v>
      </x:c>
      <x:c r="P101" s="30" t="str">
        <x:v>未着手</x:v>
      </x:c>
      <x:c r="Q101" s="30" t="str"/>
      <x:c r="R101" s="79" t="str">
        <x:v>RT-0151</x:v>
      </x:c>
      <x:c r="S101" s="80" t="str">
        <x:v>AdminCompanyReviewController</x:v>
      </x:c>
      <x:c r="T101" s="81" t="str">
        <x:v>admin/company-reviews</x:v>
      </x:c>
    </x:row>
    <x:row r="102" ht="34" customHeight="1">
      <x:c r="A102" s="30" t="n">
        <x:v>99</x:v>
      </x:c>
      <x:c r="B102" s="30" t="str">
        <x:v>SC-AD-004</x:v>
      </x:c>
      <x:c r="C102" s="30" t="str">
        <x:v>運営</x:v>
      </x:c>
      <x:c r="D102" s="30" t="str">
        <x:v>企業審査</x:v>
      </x:c>
      <x:c r="E102" s="30" t="str">
        <x:v>企業審査詳細</x:v>
      </x:c>
      <x:c r="F102" s="30" t="str">
        <x:v>企業情報、書類、履歴を確認し、承認・差戻し・停止を行う</x:v>
      </x:c>
      <x:c r="G102" s="30" t="str">
        <x:v>ページ</x:v>
      </x:c>
      <x:c r="H102" s="30" t="str">
        <x:v>/admin/company-reviews/{companyId}</x:v>
      </x:c>
      <x:c r="I102" s="30" t="str">
        <x:v>必要</x:v>
      </x:c>
      <x:c r="J102" s="30" t="str">
        <x:v>84</x:v>
      </x:c>
      <x:c r="K102" s="30" t="str">
        <x:v>〇</x:v>
      </x:c>
      <x:c r="L102" s="30" t="str">
        <x:v>第1段階</x:v>
      </x:c>
      <x:c r="M102" s="30" t="str">
        <x:v>運営機能</x:v>
      </x:c>
      <x:c r="N102" s="30" t="str">
        <x:v>最優先</x:v>
      </x:c>
      <x:c r="O102" s="30" t="str">
        <x:v>PC</x:v>
      </x:c>
      <x:c r="P102" s="30" t="str">
        <x:v>未着手</x:v>
      </x:c>
      <x:c r="Q102" s="30" t="str"/>
      <x:c r="R102" s="79" t="str">
        <x:v>RT-0152</x:v>
      </x:c>
      <x:c r="S102" s="80" t="str">
        <x:v>AdminCompanyReviewController</x:v>
      </x:c>
      <x:c r="T102" s="81" t="str">
        <x:v>admin/company-reviews/detail</x:v>
      </x:c>
    </x:row>
    <x:row r="103" ht="34" customHeight="1">
      <x:c r="A103" s="30" t="n">
        <x:v>100</x:v>
      </x:c>
      <x:c r="B103" s="30" t="str">
        <x:v>SC-AD-005</x:v>
      </x:c>
      <x:c r="C103" s="30" t="str">
        <x:v>運営</x:v>
      </x:c>
      <x:c r="D103" s="30" t="str">
        <x:v>求人審査</x:v>
      </x:c>
      <x:c r="E103" s="30" t="str">
        <x:v>求人審査一覧</x:v>
      </x:c>
      <x:c r="F103" s="30" t="str">
        <x:v>審査待ち、公開中、停止中の求人を検索する</x:v>
      </x:c>
      <x:c r="G103" s="30" t="str">
        <x:v>ページ</x:v>
      </x:c>
      <x:c r="H103" s="30" t="str">
        <x:v>/admin/job-reviews</x:v>
      </x:c>
      <x:c r="I103" s="30" t="str">
        <x:v>必要</x:v>
      </x:c>
      <x:c r="J103" s="30" t="str">
        <x:v>85</x:v>
      </x:c>
      <x:c r="K103" s="30" t="str">
        <x:v>〇</x:v>
      </x:c>
      <x:c r="L103" s="30" t="str">
        <x:v>第1段階</x:v>
      </x:c>
      <x:c r="M103" s="30" t="str">
        <x:v>運営機能</x:v>
      </x:c>
      <x:c r="N103" s="30" t="str">
        <x:v>最優先</x:v>
      </x:c>
      <x:c r="O103" s="30" t="str">
        <x:v>PC</x:v>
      </x:c>
      <x:c r="P103" s="30" t="str">
        <x:v>未着手</x:v>
      </x:c>
      <x:c r="Q103" s="30" t="str"/>
      <x:c r="R103" s="79" t="str">
        <x:v>RT-0154</x:v>
      </x:c>
      <x:c r="S103" s="80" t="str">
        <x:v>AdminJobReviewController</x:v>
      </x:c>
      <x:c r="T103" s="81" t="str">
        <x:v>admin/job-reviews</x:v>
      </x:c>
    </x:row>
    <x:row r="104" ht="34" customHeight="1">
      <x:c r="A104" s="30" t="n">
        <x:v>101</x:v>
      </x:c>
      <x:c r="B104" s="30" t="str">
        <x:v>SC-AD-006</x:v>
      </x:c>
      <x:c r="C104" s="30" t="str">
        <x:v>運営</x:v>
      </x:c>
      <x:c r="D104" s="30" t="str">
        <x:v>求人審査</x:v>
      </x:c>
      <x:c r="E104" s="30" t="str">
        <x:v>求人審査詳細</x:v>
      </x:c>
      <x:c r="F104" s="30" t="str">
        <x:v>求人内容と企業情報を確認し、公開・差戻し・停止する</x:v>
      </x:c>
      <x:c r="G104" s="30" t="str">
        <x:v>ページ</x:v>
      </x:c>
      <x:c r="H104" s="30" t="str">
        <x:v>/admin/job-reviews/{jobId}</x:v>
      </x:c>
      <x:c r="I104" s="30" t="str">
        <x:v>必要</x:v>
      </x:c>
      <x:c r="J104" s="30" t="str">
        <x:v>85</x:v>
      </x:c>
      <x:c r="K104" s="30" t="str">
        <x:v>〇</x:v>
      </x:c>
      <x:c r="L104" s="30" t="str">
        <x:v>第1段階</x:v>
      </x:c>
      <x:c r="M104" s="30" t="str">
        <x:v>運営機能</x:v>
      </x:c>
      <x:c r="N104" s="30" t="str">
        <x:v>最優先</x:v>
      </x:c>
      <x:c r="O104" s="30" t="str">
        <x:v>PC</x:v>
      </x:c>
      <x:c r="P104" s="30" t="str">
        <x:v>未着手</x:v>
      </x:c>
      <x:c r="Q104" s="30" t="str"/>
      <x:c r="R104" s="79" t="str">
        <x:v>RT-0155</x:v>
      </x:c>
      <x:c r="S104" s="80" t="str">
        <x:v>AdminJobReviewController</x:v>
      </x:c>
      <x:c r="T104" s="81" t="str">
        <x:v>admin/job-reviews/detail</x:v>
      </x:c>
    </x:row>
    <x:row r="105" ht="34" customHeight="1">
      <x:c r="A105" s="30" t="n">
        <x:v>102</x:v>
      </x:c>
      <x:c r="B105" s="30" t="str">
        <x:v>SC-AD-007</x:v>
      </x:c>
      <x:c r="C105" s="30" t="str">
        <x:v>運営</x:v>
      </x:c>
      <x:c r="D105" s="30" t="str">
        <x:v>ユーザー管理</x:v>
      </x:c>
      <x:c r="E105" s="30" t="str">
        <x:v>ユーザー一覧</x:v>
      </x:c>
      <x:c r="F105" s="30" t="str">
        <x:v>ユーザーを状態、登録日、評価・通報状況で検索する</x:v>
      </x:c>
      <x:c r="G105" s="30" t="str">
        <x:v>ページ</x:v>
      </x:c>
      <x:c r="H105" s="30" t="str">
        <x:v>/admin/users</x:v>
      </x:c>
      <x:c r="I105" s="30" t="str">
        <x:v>必要</x:v>
      </x:c>
      <x:c r="J105" s="30" t="str">
        <x:v>86</x:v>
      </x:c>
      <x:c r="K105" s="30" t="str">
        <x:v>〇</x:v>
      </x:c>
      <x:c r="L105" s="30" t="str">
        <x:v>第1段階</x:v>
      </x:c>
      <x:c r="M105" s="30" t="str">
        <x:v>運営機能</x:v>
      </x:c>
      <x:c r="N105" s="30" t="str">
        <x:v>高</x:v>
      </x:c>
      <x:c r="O105" s="30" t="str">
        <x:v>PC</x:v>
      </x:c>
      <x:c r="P105" s="30" t="str">
        <x:v>未着手</x:v>
      </x:c>
      <x:c r="Q105" s="30" t="str"/>
      <x:c r="R105" s="79" t="str">
        <x:v>RT-0157</x:v>
      </x:c>
      <x:c r="S105" s="80" t="str">
        <x:v>AdminUserController</x:v>
      </x:c>
      <x:c r="T105" s="81" t="str">
        <x:v>admin/users</x:v>
      </x:c>
    </x:row>
    <x:row r="106" ht="34" customHeight="1">
      <x:c r="A106" s="30" t="n">
        <x:v>103</x:v>
      </x:c>
      <x:c r="B106" s="30" t="str">
        <x:v>SC-AD-008</x:v>
      </x:c>
      <x:c r="C106" s="30" t="str">
        <x:v>運営</x:v>
      </x:c>
      <x:c r="D106" s="30" t="str">
        <x:v>ユーザー管理</x:v>
      </x:c>
      <x:c r="E106" s="30" t="str">
        <x:v>ユーザー詳細</x:v>
      </x:c>
      <x:c r="F106" s="30" t="str">
        <x:v>プロフィール、応募、評価、違反履歴を確認し、利用停止する</x:v>
      </x:c>
      <x:c r="G106" s="30" t="str">
        <x:v>ページ</x:v>
      </x:c>
      <x:c r="H106" s="30" t="str">
        <x:v>/admin/users/{userId}</x:v>
      </x:c>
      <x:c r="I106" s="30" t="str">
        <x:v>必要</x:v>
      </x:c>
      <x:c r="J106" s="30" t="str">
        <x:v>83,86</x:v>
      </x:c>
      <x:c r="K106" s="30" t="str">
        <x:v>〇</x:v>
      </x:c>
      <x:c r="L106" s="30" t="str">
        <x:v>第1段階</x:v>
      </x:c>
      <x:c r="M106" s="30" t="str">
        <x:v>運営機能</x:v>
      </x:c>
      <x:c r="N106" s="30" t="str">
        <x:v>高</x:v>
      </x:c>
      <x:c r="O106" s="30" t="str">
        <x:v>PC</x:v>
      </x:c>
      <x:c r="P106" s="30" t="str">
        <x:v>未着手</x:v>
      </x:c>
      <x:c r="Q106" s="30" t="str"/>
      <x:c r="R106" s="79" t="str">
        <x:v>RT-0158</x:v>
      </x:c>
      <x:c r="S106" s="80" t="str">
        <x:v>AdminUserController</x:v>
      </x:c>
      <x:c r="T106" s="81" t="str">
        <x:v>admin/users/detail</x:v>
      </x:c>
    </x:row>
    <x:row r="107" ht="34" customHeight="1">
      <x:c r="A107" s="30" t="n">
        <x:v>104</x:v>
      </x:c>
      <x:c r="B107" s="30" t="str">
        <x:v>SC-AD-009</x:v>
      </x:c>
      <x:c r="C107" s="30" t="str">
        <x:v>運営</x:v>
      </x:c>
      <x:c r="D107" s="30" t="str">
        <x:v>評価管理</x:v>
      </x:c>
      <x:c r="E107" s="30" t="str">
        <x:v>評価・通報審査一覧</x:v>
      </x:c>
      <x:c r="F107" s="30" t="str">
        <x:v>通報、異議申立て、要確認評価を優先度順に表示する</x:v>
      </x:c>
      <x:c r="G107" s="30" t="str">
        <x:v>ページ</x:v>
      </x:c>
      <x:c r="H107" s="30" t="str">
        <x:v>/admin/review-moderation</x:v>
      </x:c>
      <x:c r="I107" s="30" t="str">
        <x:v>必要</x:v>
      </x:c>
      <x:c r="J107" s="30" t="str">
        <x:v>61,78,87</x:v>
      </x:c>
      <x:c r="K107" s="30" t="str">
        <x:v>〇</x:v>
      </x:c>
      <x:c r="L107" s="30" t="str">
        <x:v>第1段階</x:v>
      </x:c>
      <x:c r="M107" s="30" t="str">
        <x:v>運営機能</x:v>
      </x:c>
      <x:c r="N107" s="30" t="str">
        <x:v>最優先</x:v>
      </x:c>
      <x:c r="O107" s="30" t="str">
        <x:v>PC</x:v>
      </x:c>
      <x:c r="P107" s="30" t="str">
        <x:v>未着手</x:v>
      </x:c>
      <x:c r="Q107" s="30" t="str"/>
      <x:c r="R107" s="79" t="str">
        <x:v>RT-0160</x:v>
      </x:c>
      <x:c r="S107" s="80" t="str">
        <x:v>AdminReviewModerationController</x:v>
      </x:c>
      <x:c r="T107" s="81" t="str">
        <x:v>admin/review-moderation</x:v>
      </x:c>
    </x:row>
    <x:row r="108" ht="34" customHeight="1">
      <x:c r="A108" s="30" t="n">
        <x:v>105</x:v>
      </x:c>
      <x:c r="B108" s="30" t="str">
        <x:v>SC-AD-010</x:v>
      </x:c>
      <x:c r="C108" s="30" t="str">
        <x:v>運営</x:v>
      </x:c>
      <x:c r="D108" s="30" t="str">
        <x:v>評価管理</x:v>
      </x:c>
      <x:c r="E108" s="30" t="str">
        <x:v>評価・通報審査詳細</x:v>
      </x:c>
      <x:c r="F108" s="30" t="str">
        <x:v>評価内容、双方の情報、根拠、履歴を確認し対応を決定する</x:v>
      </x:c>
      <x:c r="G108" s="30" t="str">
        <x:v>ページ</x:v>
      </x:c>
      <x:c r="H108" s="30" t="str">
        <x:v>/admin/review-moderation/{caseId}</x:v>
      </x:c>
      <x:c r="I108" s="30" t="str">
        <x:v>必要</x:v>
      </x:c>
      <x:c r="J108" s="30" t="str">
        <x:v>78,87,88</x:v>
      </x:c>
      <x:c r="K108" s="30" t="str">
        <x:v>〇</x:v>
      </x:c>
      <x:c r="L108" s="30" t="str">
        <x:v>第1段階</x:v>
      </x:c>
      <x:c r="M108" s="30" t="str">
        <x:v>運営機能</x:v>
      </x:c>
      <x:c r="N108" s="30" t="str">
        <x:v>最優先</x:v>
      </x:c>
      <x:c r="O108" s="30" t="str">
        <x:v>PC</x:v>
      </x:c>
      <x:c r="P108" s="30" t="str">
        <x:v>未着手</x:v>
      </x:c>
      <x:c r="Q108" s="30" t="str"/>
      <x:c r="R108" s="79" t="str">
        <x:v>RT-0161</x:v>
      </x:c>
      <x:c r="S108" s="80" t="str">
        <x:v>AdminReviewModerationController</x:v>
      </x:c>
      <x:c r="T108" s="81" t="str">
        <x:v>admin/review-moderation/detail</x:v>
      </x:c>
    </x:row>
    <x:row r="109" ht="34" customHeight="1">
      <x:c r="A109" s="30" t="n">
        <x:v>106</x:v>
      </x:c>
      <x:c r="B109" s="30" t="str">
        <x:v>SC-AD-011</x:v>
      </x:c>
      <x:c r="C109" s="30" t="str">
        <x:v>運営</x:v>
      </x:c>
      <x:c r="D109" s="30" t="str">
        <x:v>評価管理</x:v>
      </x:c>
      <x:c r="E109" s="30" t="str">
        <x:v>評価編集・対応履歴</x:v>
      </x:c>
      <x:c r="F109" s="30" t="str">
        <x:v>評価の変更履歴、公開状態、運営対応履歴を時系列表示する</x:v>
      </x:c>
      <x:c r="G109" s="30" t="str">
        <x:v>ページ</x:v>
      </x:c>
      <x:c r="H109" s="30" t="str">
        <x:v>/admin/reviews/{reviewId}/history</x:v>
      </x:c>
      <x:c r="I109" s="30" t="str">
        <x:v>必要</x:v>
      </x:c>
      <x:c r="J109" s="30" t="str">
        <x:v>88</x:v>
      </x:c>
      <x:c r="K109" s="30" t="str">
        <x:v>〇</x:v>
      </x:c>
      <x:c r="L109" s="30" t="str">
        <x:v>第1段階</x:v>
      </x:c>
      <x:c r="M109" s="30" t="str">
        <x:v>運営機能</x:v>
      </x:c>
      <x:c r="N109" s="30" t="str">
        <x:v>高</x:v>
      </x:c>
      <x:c r="O109" s="30" t="str">
        <x:v>PC</x:v>
      </x:c>
      <x:c r="P109" s="30" t="str">
        <x:v>未着手</x:v>
      </x:c>
      <x:c r="Q109" s="30" t="str"/>
      <x:c r="R109" s="79" t="str">
        <x:v>RT-0163</x:v>
      </x:c>
      <x:c r="S109" s="80" t="str">
        <x:v>AdminReviewController</x:v>
      </x:c>
      <x:c r="T109" s="81" t="str">
        <x:v>admin/reviews/history</x:v>
      </x:c>
    </x:row>
    <x:row r="110" ht="34" customHeight="1">
      <x:c r="A110" s="30" t="n">
        <x:v>107</x:v>
      </x:c>
      <x:c r="B110" s="30" t="str">
        <x:v>SC-AD-012</x:v>
      </x:c>
      <x:c r="C110" s="30" t="str">
        <x:v>運営</x:v>
      </x:c>
      <x:c r="D110" s="30" t="str">
        <x:v>料金・契約</x:v>
      </x:c>
      <x:c r="E110" s="30" t="str">
        <x:v>企業プラン管理</x:v>
      </x:c>
      <x:c r="F110" s="30" t="str">
        <x:v>企業ごとのプラン、求人上限、契約状態を検索・変更する</x:v>
      </x:c>
      <x:c r="G110" s="30" t="str">
        <x:v>ページ</x:v>
      </x:c>
      <x:c r="H110" s="30" t="str">
        <x:v>/admin/contracts</x:v>
      </x:c>
      <x:c r="I110" s="30" t="str">
        <x:v>必要</x:v>
      </x:c>
      <x:c r="J110" s="30" t="str">
        <x:v>89</x:v>
      </x:c>
      <x:c r="K110" s="30" t="str">
        <x:v>〇</x:v>
      </x:c>
      <x:c r="L110" s="30" t="str">
        <x:v>第1段階</x:v>
      </x:c>
      <x:c r="M110" s="30" t="str">
        <x:v>運営機能</x:v>
      </x:c>
      <x:c r="N110" s="30" t="str">
        <x:v>高</x:v>
      </x:c>
      <x:c r="O110" s="30" t="str">
        <x:v>PC</x:v>
      </x:c>
      <x:c r="P110" s="30" t="str">
        <x:v>未着手</x:v>
      </x:c>
      <x:c r="Q110" s="30" t="str"/>
      <x:c r="R110" s="79" t="str">
        <x:v>RT-0164</x:v>
      </x:c>
      <x:c r="S110" s="80" t="str">
        <x:v>AdminContractController</x:v>
      </x:c>
      <x:c r="T110" s="81" t="str">
        <x:v>admin/contracts</x:v>
      </x:c>
    </x:row>
    <x:row r="111" ht="34" customHeight="1">
      <x:c r="A111" s="30" t="n">
        <x:v>108</x:v>
      </x:c>
      <x:c r="B111" s="30" t="str">
        <x:v>SC-AD-013</x:v>
      </x:c>
      <x:c r="C111" s="30" t="str">
        <x:v>運営</x:v>
      </x:c>
      <x:c r="D111" s="30" t="str">
        <x:v>料金・契約</x:v>
      </x:c>
      <x:c r="E111" s="30" t="str">
        <x:v>月額料金算定詳細</x:v>
      </x:c>
      <x:c r="F111" s="30" t="str">
        <x:v>採用数、評価数、評価協力率、算定根拠、適用期間を確認する</x:v>
      </x:c>
      <x:c r="G111" s="30" t="str">
        <x:v>ページ</x:v>
      </x:c>
      <x:c r="H111" s="30" t="str">
        <x:v>/admin/contracts/{companyId}/pricing</x:v>
      </x:c>
      <x:c r="I111" s="30" t="str">
        <x:v>必要</x:v>
      </x:c>
      <x:c r="J111" s="30" t="str">
        <x:v>90,91</x:v>
      </x:c>
      <x:c r="K111" s="30" t="str">
        <x:v>〇</x:v>
      </x:c>
      <x:c r="L111" s="30" t="str">
        <x:v>第1段階</x:v>
      </x:c>
      <x:c r="M111" s="30" t="str">
        <x:v>運営機能</x:v>
      </x:c>
      <x:c r="N111" s="30" t="str">
        <x:v>最優先</x:v>
      </x:c>
      <x:c r="O111" s="30" t="str">
        <x:v>PC</x:v>
      </x:c>
      <x:c r="P111" s="30" t="str">
        <x:v>未着手</x:v>
      </x:c>
      <x:c r="Q111" s="30" t="str"/>
      <x:c r="R111" s="79" t="str">
        <x:v>RT-0165</x:v>
      </x:c>
      <x:c r="S111" s="80" t="str">
        <x:v>AdminContractController</x:v>
      </x:c>
      <x:c r="T111" s="81" t="str">
        <x:v>admin/contracts/pricing</x:v>
      </x:c>
    </x:row>
    <x:row r="112" ht="34" customHeight="1">
      <x:c r="A112" s="30" t="n">
        <x:v>109</x:v>
      </x:c>
      <x:c r="B112" s="30" t="str">
        <x:v>SC-AD-014</x:v>
      </x:c>
      <x:c r="C112" s="30" t="str">
        <x:v>運営</x:v>
      </x:c>
      <x:c r="D112" s="30" t="str">
        <x:v>料金・契約</x:v>
      </x:c>
      <x:c r="E112" s="30" t="str">
        <x:v>請求・決済管理</x:v>
      </x:c>
      <x:c r="F112" s="30" t="str">
        <x:v>請求予定、入金、失敗、未払い、返金を管理する</x:v>
      </x:c>
      <x:c r="G112" s="30" t="str">
        <x:v>ページ</x:v>
      </x:c>
      <x:c r="H112" s="30" t="str">
        <x:v>/admin/billing</x:v>
      </x:c>
      <x:c r="I112" s="30" t="str">
        <x:v>必要</x:v>
      </x:c>
      <x:c r="J112" s="30" t="str">
        <x:v>92</x:v>
      </x:c>
      <x:c r="K112" s="30" t="str">
        <x:v>△</x:v>
      </x:c>
      <x:c r="L112" s="30" t="str">
        <x:v>第2段階</x:v>
      </x:c>
      <x:c r="M112" s="30" t="str">
        <x:v>運営機能</x:v>
      </x:c>
      <x:c r="N112" s="30" t="str">
        <x:v>高</x:v>
      </x:c>
      <x:c r="O112" s="30" t="str">
        <x:v>PC</x:v>
      </x:c>
      <x:c r="P112" s="30" t="str">
        <x:v>未着手</x:v>
      </x:c>
      <x:c r="Q112" s="30" t="str"/>
      <x:c r="R112" s="79" t="str">
        <x:v>RT-0166</x:v>
      </x:c>
      <x:c r="S112" s="80" t="str">
        <x:v>AdminBillingController</x:v>
      </x:c>
      <x:c r="T112" s="81" t="str">
        <x:v>admin/billing</x:v>
      </x:c>
    </x:row>
    <x:row r="113" ht="34" customHeight="1">
      <x:c r="A113" s="30" t="n">
        <x:v>110</x:v>
      </x:c>
      <x:c r="B113" s="30" t="str">
        <x:v>SC-AD-015</x:v>
      </x:c>
      <x:c r="C113" s="30" t="str">
        <x:v>運営</x:v>
      </x:c>
      <x:c r="D113" s="30" t="str">
        <x:v>マスタ</x:v>
      </x:c>
      <x:c r="E113" s="30" t="str">
        <x:v>マスタ管理メニュー</x:v>
      </x:c>
      <x:c r="F113" s="30" t="str">
        <x:v>職種、雇用形態、特徴、都道府県などのマスタを選択する</x:v>
      </x:c>
      <x:c r="G113" s="30" t="str">
        <x:v>ページ</x:v>
      </x:c>
      <x:c r="H113" s="30" t="str">
        <x:v>/admin/masters</x:v>
      </x:c>
      <x:c r="I113" s="30" t="str">
        <x:v>必要</x:v>
      </x:c>
      <x:c r="J113" s="30" t="str">
        <x:v>93</x:v>
      </x:c>
      <x:c r="K113" s="30" t="str">
        <x:v>〇</x:v>
      </x:c>
      <x:c r="L113" s="30" t="str">
        <x:v>第1段階</x:v>
      </x:c>
      <x:c r="M113" s="30" t="str">
        <x:v>運営機能</x:v>
      </x:c>
      <x:c r="N113" s="30" t="str">
        <x:v>高</x:v>
      </x:c>
      <x:c r="O113" s="30" t="str">
        <x:v>PC</x:v>
      </x:c>
      <x:c r="P113" s="30" t="str">
        <x:v>未着手</x:v>
      </x:c>
      <x:c r="Q113" s="30" t="str"/>
      <x:c r="R113" s="79" t="str">
        <x:v>RT-0167</x:v>
      </x:c>
      <x:c r="S113" s="80" t="str">
        <x:v>AdminMasterController</x:v>
      </x:c>
      <x:c r="T113" s="81" t="str">
        <x:v>admin/masters</x:v>
      </x:c>
    </x:row>
    <x:row r="114" ht="34" customHeight="1">
      <x:c r="A114" s="30" t="n">
        <x:v>111</x:v>
      </x:c>
      <x:c r="B114" s="30" t="str">
        <x:v>SC-AD-016</x:v>
      </x:c>
      <x:c r="C114" s="30" t="str">
        <x:v>運営</x:v>
      </x:c>
      <x:c r="D114" s="30" t="str">
        <x:v>マスタ</x:v>
      </x:c>
      <x:c r="E114" s="30" t="str">
        <x:v>マスタ一覧</x:v>
      </x:c>
      <x:c r="F114" s="30" t="str">
        <x:v>選択したマスタの検索、並び替え、有効・無効を管理する</x:v>
      </x:c>
      <x:c r="G114" s="30" t="str">
        <x:v>ページ</x:v>
      </x:c>
      <x:c r="H114" s="30" t="str">
        <x:v>/admin/masters/{masterType}</x:v>
      </x:c>
      <x:c r="I114" s="30" t="str">
        <x:v>必要</x:v>
      </x:c>
      <x:c r="J114" s="30" t="str">
        <x:v>93</x:v>
      </x:c>
      <x:c r="K114" s="30" t="str">
        <x:v>〇</x:v>
      </x:c>
      <x:c r="L114" s="30" t="str">
        <x:v>第1段階</x:v>
      </x:c>
      <x:c r="M114" s="30" t="str">
        <x:v>運営機能</x:v>
      </x:c>
      <x:c r="N114" s="30" t="str">
        <x:v>高</x:v>
      </x:c>
      <x:c r="O114" s="30" t="str">
        <x:v>PC</x:v>
      </x:c>
      <x:c r="P114" s="30" t="str">
        <x:v>未着手</x:v>
      </x:c>
      <x:c r="Q114" s="30" t="str"/>
      <x:c r="R114" s="79" t="str">
        <x:v>RT-0168</x:v>
      </x:c>
      <x:c r="S114" s="80" t="str">
        <x:v>AdminMasterController</x:v>
      </x:c>
      <x:c r="T114" s="81" t="str">
        <x:v>admin/masters/detail</x:v>
      </x:c>
    </x:row>
    <x:row r="115" ht="34" customHeight="1">
      <x:c r="A115" s="30" t="n">
        <x:v>112</x:v>
      </x:c>
      <x:c r="B115" s="30" t="str">
        <x:v>SC-AD-017</x:v>
      </x:c>
      <x:c r="C115" s="30" t="str">
        <x:v>運営</x:v>
      </x:c>
      <x:c r="D115" s="30" t="str">
        <x:v>マスタ</x:v>
      </x:c>
      <x:c r="E115" s="30" t="str">
        <x:v>マスタ登録・編集</x:v>
      </x:c>
      <x:c r="F115" s="30" t="str">
        <x:v>名称、順序、説明、親子関係を登録・編集する</x:v>
      </x:c>
      <x:c r="G115" s="30" t="str">
        <x:v>ページ／ダイアログ</x:v>
      </x:c>
      <x:c r="H115" s="30" t="str">
        <x:v>/admin/masters/{masterType}/{id}</x:v>
      </x:c>
      <x:c r="I115" s="30" t="str">
        <x:v>必要</x:v>
      </x:c>
      <x:c r="J115" s="30" t="str">
        <x:v>93</x:v>
      </x:c>
      <x:c r="K115" s="30" t="str">
        <x:v>〇</x:v>
      </x:c>
      <x:c r="L115" s="30" t="str">
        <x:v>第1段階</x:v>
      </x:c>
      <x:c r="M115" s="30" t="str">
        <x:v>運営機能</x:v>
      </x:c>
      <x:c r="N115" s="30" t="str">
        <x:v>高</x:v>
      </x:c>
      <x:c r="O115" s="30" t="str">
        <x:v>PC</x:v>
      </x:c>
      <x:c r="P115" s="30" t="str">
        <x:v>未着手</x:v>
      </x:c>
      <x:c r="Q115" s="30" t="str"/>
      <x:c r="R115" s="79" t="str">
        <x:v>RT-0169</x:v>
      </x:c>
      <x:c r="S115" s="80" t="str">
        <x:v>AdminMasterController</x:v>
      </x:c>
      <x:c r="T115" s="81" t="str">
        <x:v>admin/masters/detail</x:v>
      </x:c>
    </x:row>
    <x:row r="116" ht="34" customHeight="1">
      <x:c r="A116" s="30" t="n">
        <x:v>113</x:v>
      </x:c>
      <x:c r="B116" s="30" t="str">
        <x:v>SC-AD-018</x:v>
      </x:c>
      <x:c r="C116" s="30" t="str">
        <x:v>運営</x:v>
      </x:c>
      <x:c r="D116" s="30" t="str">
        <x:v>サポート</x:v>
      </x:c>
      <x:c r="E116" s="30" t="str">
        <x:v>問い合わせ一覧</x:v>
      </x:c>
      <x:c r="F116" s="30" t="str">
        <x:v>問い合わせを区分、状態、担当者で検索する</x:v>
      </x:c>
      <x:c r="G116" s="30" t="str">
        <x:v>ページ</x:v>
      </x:c>
      <x:c r="H116" s="30" t="str">
        <x:v>/admin/inquiries</x:v>
      </x:c>
      <x:c r="I116" s="30" t="str">
        <x:v>必要</x:v>
      </x:c>
      <x:c r="J116" s="30" t="str">
        <x:v>94</x:v>
      </x:c>
      <x:c r="K116" s="30" t="str">
        <x:v>〇</x:v>
      </x:c>
      <x:c r="L116" s="30" t="str">
        <x:v>第1段階</x:v>
      </x:c>
      <x:c r="M116" s="30" t="str">
        <x:v>運営機能</x:v>
      </x:c>
      <x:c r="N116" s="30" t="str">
        <x:v>中</x:v>
      </x:c>
      <x:c r="O116" s="30" t="str">
        <x:v>PC</x:v>
      </x:c>
      <x:c r="P116" s="30" t="str">
        <x:v>未着手</x:v>
      </x:c>
      <x:c r="Q116" s="30" t="str"/>
      <x:c r="R116" s="79" t="str">
        <x:v>RT-0171</x:v>
      </x:c>
      <x:c r="S116" s="80" t="str">
        <x:v>AdminInquiryController</x:v>
      </x:c>
      <x:c r="T116" s="81" t="str">
        <x:v>admin/inquiries</x:v>
      </x:c>
    </x:row>
    <x:row r="117" ht="34" customHeight="1">
      <x:c r="A117" s="30" t="n">
        <x:v>114</x:v>
      </x:c>
      <x:c r="B117" s="30" t="str">
        <x:v>SC-AD-019</x:v>
      </x:c>
      <x:c r="C117" s="30" t="str">
        <x:v>運営</x:v>
      </x:c>
      <x:c r="D117" s="30" t="str">
        <x:v>サポート</x:v>
      </x:c>
      <x:c r="E117" s="30" t="str">
        <x:v>問い合わせ詳細</x:v>
      </x:c>
      <x:c r="F117" s="30" t="str">
        <x:v>問い合わせ内容、対応履歴、返信内容を管理する</x:v>
      </x:c>
      <x:c r="G117" s="30" t="str">
        <x:v>ページ</x:v>
      </x:c>
      <x:c r="H117" s="30" t="str">
        <x:v>/admin/inquiries/{inquiryId}</x:v>
      </x:c>
      <x:c r="I117" s="30" t="str">
        <x:v>必要</x:v>
      </x:c>
      <x:c r="J117" s="30" t="str">
        <x:v>94</x:v>
      </x:c>
      <x:c r="K117" s="30" t="str">
        <x:v>〇</x:v>
      </x:c>
      <x:c r="L117" s="30" t="str">
        <x:v>第1段階</x:v>
      </x:c>
      <x:c r="M117" s="30" t="str">
        <x:v>運営機能</x:v>
      </x:c>
      <x:c r="N117" s="30" t="str">
        <x:v>中</x:v>
      </x:c>
      <x:c r="O117" s="30" t="str">
        <x:v>PC</x:v>
      </x:c>
      <x:c r="P117" s="30" t="str">
        <x:v>未着手</x:v>
      </x:c>
      <x:c r="Q117" s="30" t="str"/>
      <x:c r="R117" s="79" t="str">
        <x:v>RT-0172</x:v>
      </x:c>
      <x:c r="S117" s="80" t="str">
        <x:v>AdminInquiryController</x:v>
      </x:c>
      <x:c r="T117" s="81" t="str">
        <x:v>admin/inquiries/detail</x:v>
      </x:c>
    </x:row>
    <x:row r="118" ht="34" customHeight="1">
      <x:c r="A118" s="30" t="n">
        <x:v>115</x:v>
      </x:c>
      <x:c r="B118" s="30" t="str">
        <x:v>SC-AD-020</x:v>
      </x:c>
      <x:c r="C118" s="30" t="str">
        <x:v>運営</x:v>
      </x:c>
      <x:c r="D118" s="30" t="str">
        <x:v>分析</x:v>
      </x:c>
      <x:c r="E118" s="30" t="str">
        <x:v>利用状況分析</x:v>
      </x:c>
      <x:c r="F118" s="30" t="str">
        <x:v>求人、応募、採用、評価、料金、売上を期間別に集計する</x:v>
      </x:c>
      <x:c r="G118" s="30" t="str">
        <x:v>ページ</x:v>
      </x:c>
      <x:c r="H118" s="30" t="str">
        <x:v>/admin/analytics</x:v>
      </x:c>
      <x:c r="I118" s="30" t="str">
        <x:v>必要</x:v>
      </x:c>
      <x:c r="J118" s="30" t="str">
        <x:v>95</x:v>
      </x:c>
      <x:c r="K118" s="30" t="str">
        <x:v>△</x:v>
      </x:c>
      <x:c r="L118" s="30" t="str">
        <x:v>第2段階</x:v>
      </x:c>
      <x:c r="M118" s="30" t="str">
        <x:v>運営機能</x:v>
      </x:c>
      <x:c r="N118" s="30" t="str">
        <x:v>中</x:v>
      </x:c>
      <x:c r="O118" s="30" t="str">
        <x:v>PC</x:v>
      </x:c>
      <x:c r="P118" s="30" t="str">
        <x:v>未着手</x:v>
      </x:c>
      <x:c r="Q118" s="30" t="str"/>
      <x:c r="R118" s="79" t="str">
        <x:v>RT-0174</x:v>
      </x:c>
      <x:c r="S118" s="80" t="str">
        <x:v>AdminAnalyticsController</x:v>
      </x:c>
      <x:c r="T118" s="81" t="str">
        <x:v>admin/analytics</x:v>
      </x:c>
    </x:row>
    <x:row r="119" ht="34" customHeight="1">
      <x:c r="A119" s="30" t="n">
        <x:v>116</x:v>
      </x:c>
      <x:c r="B119" s="30" t="str">
        <x:v>SC-AD-021</x:v>
      </x:c>
      <x:c r="C119" s="30" t="str">
        <x:v>運営</x:v>
      </x:c>
      <x:c r="D119" s="30" t="str">
        <x:v>セキュリティ</x:v>
      </x:c>
      <x:c r="E119" s="30" t="str">
        <x:v>監査ログ</x:v>
      </x:c>
      <x:c r="F119" s="30" t="str">
        <x:v>運営・企業の重要操作を条件検索して確認する</x:v>
      </x:c>
      <x:c r="G119" s="30" t="str">
        <x:v>ページ</x:v>
      </x:c>
      <x:c r="H119" s="30" t="str">
        <x:v>/admin/audit-logs</x:v>
      </x:c>
      <x:c r="I119" s="30" t="str">
        <x:v>必要</x:v>
      </x:c>
      <x:c r="J119" s="30" t="str">
        <x:v>82</x:v>
      </x:c>
      <x:c r="K119" s="30" t="str">
        <x:v>△</x:v>
      </x:c>
      <x:c r="L119" s="30" t="str">
        <x:v>第2段階</x:v>
      </x:c>
      <x:c r="M119" s="30" t="str">
        <x:v>運営機能</x:v>
      </x:c>
      <x:c r="N119" s="30" t="str">
        <x:v>中</x:v>
      </x:c>
      <x:c r="O119" s="30" t="str">
        <x:v>PC</x:v>
      </x:c>
      <x:c r="P119" s="30" t="str">
        <x:v>未着手</x:v>
      </x:c>
      <x:c r="Q119" s="30" t="str"/>
      <x:c r="R119" s="82" t="str">
        <x:v>RT-0175</x:v>
      </x:c>
      <x:c r="S119" s="83" t="str">
        <x:v>AdminAuditLogController</x:v>
      </x:c>
      <x:c r="T119" s="84" t="str">
        <x:v>admin/audit-logs</x:v>
      </x:c>
    </x:row>
  </x:sheetData>
  <x:mergeCells>
    <x:mergeCell ref="A1:T1"/>
    <x:mergeCell ref="A2:T2"/>
  </x:mergeCells>
  <x:conditionalFormatting sqref="K4:K119">
    <x:cfRule type="expression" dxfId="0" priority="1">
      <x:formula>K4="〇"</x:formula>
    </x:cfRule>
    <x:cfRule type="expression" dxfId="1" priority="2">
      <x:formula>K4="△"</x:formula>
    </x:cfRule>
    <x:cfRule type="expression" dxfId="2" priority="3">
      <x:formula>K4="×"</x:formula>
    </x:cfRule>
  </x:conditionalFormatting>
  <x:conditionalFormatting sqref="N4:N119">
    <x:cfRule type="expression" dxfId="3" priority="4">
      <x:formula>N4="最優先"</x:formula>
    </x:cfRule>
  </x:conditionalFormatting>
  <x:conditionalFormatting sqref="P4:P119">
    <x:cfRule type="expression" dxfId="4" priority="5">
      <x:formula>P4="完了"</x:formula>
    </x:cfRule>
  </x:conditionalFormatting>
  <x:dataValidations count="4">
    <x:dataValidation type="list" sqref="K4:K119">
      <x:formula1>"〇,△,×"</x:formula1>
    </x:dataValidation>
    <x:dataValidation type="list" sqref="L4:L119">
      <x:formula1>"第1段階,第2段階,第3段階,第4段階"</x:formula1>
    </x:dataValidation>
    <x:dataValidation type="list" sqref="N4:N119">
      <x:formula1>"最優先,高,中,低"</x:formula1>
    </x:dataValidation>
    <x:dataValidation type="list" sqref="P4:P119">
      <x:formula1>"未着手,画面設計中,デザイン済み,実装中,テスト中,完了,保留"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e0a6ebbe824b7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10" hidden="0" customWidth="1"/>
    <x:col min="4" max="4" width="12" hidden="0" customWidth="1"/>
    <x:col min="5" max="5" width="18" hidden="0" customWidth="1"/>
    <x:col min="6" max="6" width="28" hidden="0" customWidth="1"/>
    <x:col min="7" max="7" width="18" hidden="0" customWidth="1"/>
  </x:cols>
  <x:sheetData>
    <x:row r="1">
      <x:c r="A1" s="5" t="str">
        <x:v>画面・機能対応表</x:v>
      </x:c>
      <x:c r="B1" s="5"/>
      <x:c r="C1" s="5"/>
      <x:c r="D1" s="5"/>
      <x:c r="E1" s="5"/>
      <x:c r="F1" s="5"/>
      <x:c r="G1" s="5"/>
    </x:row>
    <x:row r="2">
      <x:c r="A2" s="13" t="str">
        <x:v>1画面に複数機能が対応するため、画面IDと機能No.を1行ずつ展開しています。</x:v>
      </x:c>
      <x:c r="B2" s="13"/>
      <x:c r="C2" s="13"/>
      <x:c r="D2" s="13"/>
      <x:c r="E2" s="13"/>
      <x:c r="F2" s="13"/>
      <x:c r="G2" s="13"/>
    </x:row>
    <x:row r="3">
      <x:c r="A3" s="22" t="str">
        <x:v>画面ID</x:v>
      </x:c>
      <x:c r="B3" s="22" t="str">
        <x:v>画面名</x:v>
      </x:c>
      <x:c r="C3" s="22" t="str">
        <x:v>機能No.</x:v>
      </x:c>
      <x:c r="D3" s="22" t="str">
        <x:v>大分類</x:v>
      </x:c>
      <x:c r="E3" s="22" t="str">
        <x:v>中分類</x:v>
      </x:c>
      <x:c r="F3" s="22" t="str">
        <x:v>機能名</x:v>
      </x:c>
      <x:c r="G3" s="22" t="str">
        <x:v>画面での役割</x:v>
      </x:c>
    </x:row>
    <x:row r="4" ht="28" customHeight="1">
      <x:c r="A4" s="30" t="str">
        <x:v>SC-PB-001</x:v>
      </x:c>
      <x:c r="B4" s="30" t="str">
        <x:v>トップページ</x:v>
      </x:c>
      <x:c r="C4" s="30" t="n">
        <x:v>62</x:v>
      </x:c>
      <x:c r="D4" s="30" t="str">
        <x:v>共通</x:v>
      </x:c>
      <x:c r="E4" s="30" t="str">
        <x:v>求人検索</x:v>
      </x:c>
      <x:c r="F4" s="30" t="str">
        <x:v>キーワード検索</x:v>
      </x:c>
      <x:c r="G4" s="30" t="str">
        <x:v>表示・操作対象</x:v>
      </x:c>
    </x:row>
    <x:row r="5" ht="28" customHeight="1">
      <x:c r="A5" s="30" t="str">
        <x:v>SC-PB-001</x:v>
      </x:c>
      <x:c r="B5" s="30" t="str">
        <x:v>トップページ</x:v>
      </x:c>
      <x:c r="C5" s="30" t="n">
        <x:v>63</x:v>
      </x:c>
      <x:c r="D5" s="30" t="str">
        <x:v>共通</x:v>
      </x:c>
      <x:c r="E5" s="30" t="str">
        <x:v>求人検索</x:v>
      </x:c>
      <x:c r="F5" s="30" t="str">
        <x:v>条件検索</x:v>
      </x:c>
      <x:c r="G5" s="30" t="str">
        <x:v>表示・操作対象</x:v>
      </x:c>
    </x:row>
    <x:row r="6" ht="28" customHeight="1">
      <x:c r="A6" s="30" t="str">
        <x:v>SC-PB-001</x:v>
      </x:c>
      <x:c r="B6" s="30" t="str">
        <x:v>トップページ</x:v>
      </x:c>
      <x:c r="C6" s="30" t="n">
        <x:v>65</x:v>
      </x:c>
      <x:c r="D6" s="30" t="str">
        <x:v>共通</x:v>
      </x:c>
      <x:c r="E6" s="30" t="str">
        <x:v>求人検索</x:v>
      </x:c>
      <x:c r="F6" s="30" t="str">
        <x:v>求人詳細表示</x:v>
      </x:c>
      <x:c r="G6" s="30" t="str">
        <x:v>表示・操作対象</x:v>
      </x:c>
    </x:row>
    <x:row r="7" ht="28" customHeight="1">
      <x:c r="A7" s="30" t="str">
        <x:v>SC-PB-001</x:v>
      </x:c>
      <x:c r="B7" s="30" t="str">
        <x:v>トップページ</x:v>
      </x:c>
      <x:c r="C7" s="30" t="n">
        <x:v>79</x:v>
      </x:c>
      <x:c r="D7" s="30" t="str">
        <x:v>共通</x:v>
      </x:c>
      <x:c r="E7" s="30" t="str">
        <x:v>通知</x:v>
      </x:c>
      <x:c r="F7" s="30" t="str">
        <x:v>サイト内通知</x:v>
      </x:c>
      <x:c r="G7" s="30" t="str">
        <x:v>表示・操作対象</x:v>
      </x:c>
    </x:row>
    <x:row r="8" ht="28" customHeight="1">
      <x:c r="A8" s="30" t="str">
        <x:v>SC-PB-002</x:v>
      </x:c>
      <x:c r="B8" s="30" t="str">
        <x:v>求人検索・一覧</x:v>
      </x:c>
      <x:c r="C8" s="30" t="n">
        <x:v>62</x:v>
      </x:c>
      <x:c r="D8" s="30" t="str">
        <x:v>共通</x:v>
      </x:c>
      <x:c r="E8" s="30" t="str">
        <x:v>求人検索</x:v>
      </x:c>
      <x:c r="F8" s="30" t="str">
        <x:v>キーワード検索</x:v>
      </x:c>
      <x:c r="G8" s="30" t="str">
        <x:v>一覧表示・検索</x:v>
      </x:c>
    </x:row>
    <x:row r="9" ht="28" customHeight="1">
      <x:c r="A9" s="30" t="str">
        <x:v>SC-PB-002</x:v>
      </x:c>
      <x:c r="B9" s="30" t="str">
        <x:v>求人検索・一覧</x:v>
      </x:c>
      <x:c r="C9" s="30" t="n">
        <x:v>63</x:v>
      </x:c>
      <x:c r="D9" s="30" t="str">
        <x:v>共通</x:v>
      </x:c>
      <x:c r="E9" s="30" t="str">
        <x:v>求人検索</x:v>
      </x:c>
      <x:c r="F9" s="30" t="str">
        <x:v>条件検索</x:v>
      </x:c>
      <x:c r="G9" s="30" t="str">
        <x:v>一覧表示・検索</x:v>
      </x:c>
    </x:row>
    <x:row r="10" ht="28" customHeight="1">
      <x:c r="A10" s="30" t="str">
        <x:v>SC-PB-002</x:v>
      </x:c>
      <x:c r="B10" s="30" t="str">
        <x:v>求人検索・一覧</x:v>
      </x:c>
      <x:c r="C10" s="30" t="n">
        <x:v>64</x:v>
      </x:c>
      <x:c r="D10" s="30" t="str">
        <x:v>共通</x:v>
      </x:c>
      <x:c r="E10" s="30" t="str">
        <x:v>求人検索</x:v>
      </x:c>
      <x:c r="F10" s="30" t="str">
        <x:v>並び替え</x:v>
      </x:c>
      <x:c r="G10" s="30" t="str">
        <x:v>一覧表示・検索</x:v>
      </x:c>
    </x:row>
    <x:row r="11" ht="28" customHeight="1">
      <x:c r="A11" s="30" t="str">
        <x:v>SC-PB-003</x:v>
      </x:c>
      <x:c r="B11" s="30" t="str">
        <x:v>求人詳細</x:v>
      </x:c>
      <x:c r="C11" s="30" t="n">
        <x:v>51</x:v>
      </x:c>
      <x:c r="D11" s="30" t="str">
        <x:v>ユーザー</x:v>
      </x:c>
      <x:c r="E11" s="30" t="str">
        <x:v>応募</x:v>
      </x:c>
      <x:c r="F11" s="30" t="str">
        <x:v>求人応募</x:v>
      </x:c>
      <x:c r="G11" s="30" t="str">
        <x:v>確認・参照</x:v>
      </x:c>
    </x:row>
    <x:row r="12" ht="28" customHeight="1">
      <x:c r="A12" s="30" t="str">
        <x:v>SC-PB-003</x:v>
      </x:c>
      <x:c r="B12" s="30" t="str">
        <x:v>求人詳細</x:v>
      </x:c>
      <x:c r="C12" s="30" t="n">
        <x:v>55</x:v>
      </x:c>
      <x:c r="D12" s="30" t="str">
        <x:v>ユーザー</x:v>
      </x:c>
      <x:c r="E12" s="30" t="str">
        <x:v>お気に入り</x:v>
      </x:c>
      <x:c r="F12" s="30" t="str">
        <x:v>求人お気に入り</x:v>
      </x:c>
      <x:c r="G12" s="30" t="str">
        <x:v>確認・参照</x:v>
      </x:c>
    </x:row>
    <x:row r="13" ht="28" customHeight="1">
      <x:c r="A13" s="30" t="str">
        <x:v>SC-PB-003</x:v>
      </x:c>
      <x:c r="B13" s="30" t="str">
        <x:v>求人詳細</x:v>
      </x:c>
      <x:c r="C13" s="30" t="n">
        <x:v>65</x:v>
      </x:c>
      <x:c r="D13" s="30" t="str">
        <x:v>共通</x:v>
      </x:c>
      <x:c r="E13" s="30" t="str">
        <x:v>求人検索</x:v>
      </x:c>
      <x:c r="F13" s="30" t="str">
        <x:v>求人詳細表示</x:v>
      </x:c>
      <x:c r="G13" s="30" t="str">
        <x:v>確認・参照</x:v>
      </x:c>
    </x:row>
    <x:row r="14" ht="28" customHeight="1">
      <x:c r="A14" s="30" t="str">
        <x:v>SC-PB-003</x:v>
      </x:c>
      <x:c r="B14" s="30" t="str">
        <x:v>求人詳細</x:v>
      </x:c>
      <x:c r="C14" s="30" t="n">
        <x:v>69</x:v>
      </x:c>
      <x:c r="D14" s="30" t="str">
        <x:v>共通</x:v>
      </x:c>
      <x:c r="E14" s="30" t="str">
        <x:v>チャット</x:v>
      </x:c>
      <x:c r="F14" s="30" t="str">
        <x:v>企業問い合わせチャット</x:v>
      </x:c>
      <x:c r="G14" s="30" t="str">
        <x:v>確認・参照</x:v>
      </x:c>
    </x:row>
    <x:row r="15" ht="28" customHeight="1">
      <x:c r="A15" s="30" t="str">
        <x:v>SC-PB-004</x:v>
      </x:c>
      <x:c r="B15" s="30" t="str">
        <x:v>企業公開プロフィール</x:v>
      </x:c>
      <x:c r="C15" s="30" t="n">
        <x:v>4</x:v>
      </x:c>
      <x:c r="D15" s="30" t="str">
        <x:v>企業</x:v>
      </x:c>
      <x:c r="E15" s="30" t="str">
        <x:v>アカウント・企業情報</x:v>
      </x:c>
      <x:c r="F15" s="30" t="str">
        <x:v>企業プロフィール公開</x:v>
      </x:c>
      <x:c r="G15" s="30" t="str">
        <x:v>表示・操作対象</x:v>
      </x:c>
    </x:row>
    <x:row r="16" ht="28" customHeight="1">
      <x:c r="A16" s="30" t="str">
        <x:v>SC-PB-004</x:v>
      </x:c>
      <x:c r="B16" s="30" t="str">
        <x:v>企業公開プロフィール</x:v>
      </x:c>
      <x:c r="C16" s="30" t="n">
        <x:v>26</x:v>
      </x:c>
      <x:c r="D16" s="30" t="str">
        <x:v>企業</x:v>
      </x:c>
      <x:c r="E16" s="30" t="str">
        <x:v>評価</x:v>
      </x:c>
      <x:c r="F16" s="30" t="str">
        <x:v>評価協力率表示</x:v>
      </x:c>
      <x:c r="G16" s="30" t="str">
        <x:v>表示・操作対象</x:v>
      </x:c>
    </x:row>
    <x:row r="17" ht="28" customHeight="1">
      <x:c r="A17" s="30" t="str">
        <x:v>SC-PB-004</x:v>
      </x:c>
      <x:c r="B17" s="30" t="str">
        <x:v>企業公開プロフィール</x:v>
      </x:c>
      <x:c r="C17" s="30" t="n">
        <x:v>56</x:v>
      </x:c>
      <x:c r="D17" s="30" t="str">
        <x:v>ユーザー</x:v>
      </x:c>
      <x:c r="E17" s="30" t="str">
        <x:v>お気に入り</x:v>
      </x:c>
      <x:c r="F17" s="30" t="str">
        <x:v>企業お気に入り</x:v>
      </x:c>
      <x:c r="G17" s="30" t="str">
        <x:v>表示・操作対象</x:v>
      </x:c>
    </x:row>
    <x:row r="18" ht="28" customHeight="1">
      <x:c r="A18" s="30" t="str">
        <x:v>SC-PB-005</x:v>
      </x:c>
      <x:c r="B18" s="30" t="str">
        <x:v>企業評価一覧</x:v>
      </x:c>
      <x:c r="C18" s="30" t="n">
        <x:v>26</x:v>
      </x:c>
      <x:c r="D18" s="30" t="str">
        <x:v>企業</x:v>
      </x:c>
      <x:c r="E18" s="30" t="str">
        <x:v>評価</x:v>
      </x:c>
      <x:c r="F18" s="30" t="str">
        <x:v>評価協力率表示</x:v>
      </x:c>
      <x:c r="G18" s="30" t="str">
        <x:v>一覧表示・検索</x:v>
      </x:c>
    </x:row>
    <x:row r="19" ht="28" customHeight="1">
      <x:c r="A19" s="30" t="str">
        <x:v>SC-PB-005</x:v>
      </x:c>
      <x:c r="B19" s="30" t="str">
        <x:v>企業評価一覧</x:v>
      </x:c>
      <x:c r="C19" s="30" t="n">
        <x:v>57</x:v>
      </x:c>
      <x:c r="D19" s="30" t="str">
        <x:v>ユーザー</x:v>
      </x:c>
      <x:c r="E19" s="30" t="str">
        <x:v>評価</x:v>
      </x:c>
      <x:c r="F19" s="30" t="str">
        <x:v>企業評価登録</x:v>
      </x:c>
      <x:c r="G19" s="30" t="str">
        <x:v>一覧表示・検索</x:v>
      </x:c>
    </x:row>
    <x:row r="20" ht="28" customHeight="1">
      <x:c r="A20" s="30" t="str">
        <x:v>SC-PB-005</x:v>
      </x:c>
      <x:c r="B20" s="30" t="str">
        <x:v>企業評価一覧</x:v>
      </x:c>
      <x:c r="C20" s="30" t="n">
        <x:v>58</x:v>
      </x:c>
      <x:c r="D20" s="30" t="str">
        <x:v>ユーザー</x:v>
      </x:c>
      <x:c r="E20" s="30" t="str">
        <x:v>評価</x:v>
      </x:c>
      <x:c r="F20" s="30" t="str">
        <x:v>評価コメント登録</x:v>
      </x:c>
      <x:c r="G20" s="30" t="str">
        <x:v>一覧表示・検索</x:v>
      </x:c>
    </x:row>
    <x:row r="21" ht="28" customHeight="1">
      <x:c r="A21" s="30" t="str">
        <x:v>SC-PB-005</x:v>
      </x:c>
      <x:c r="B21" s="30" t="str">
        <x:v>企業評価一覧</x:v>
      </x:c>
      <x:c r="C21" s="30" t="n">
        <x:v>75</x:v>
      </x:c>
      <x:c r="D21" s="30" t="str">
        <x:v>共通</x:v>
      </x:c>
      <x:c r="E21" s="30" t="str">
        <x:v>評価</x:v>
      </x:c>
      <x:c r="F21" s="30" t="str">
        <x:v>双方同時公開</x:v>
      </x:c>
      <x:c r="G21" s="30" t="str">
        <x:v>一覧表示・検索</x:v>
      </x:c>
    </x:row>
    <x:row r="22" ht="28" customHeight="1">
      <x:c r="A22" s="30" t="str">
        <x:v>SC-PB-006</x:v>
      </x:c>
      <x:c r="B22" s="30" t="str">
        <x:v>ログイン</x:v>
      </x:c>
      <x:c r="C22" s="30" t="n">
        <x:v>43</x:v>
      </x:c>
      <x:c r="D22" s="30" t="str">
        <x:v>ユーザー</x:v>
      </x:c>
      <x:c r="E22" s="30" t="str">
        <x:v>アカウント</x:v>
      </x:c>
      <x:c r="F22" s="30" t="str">
        <x:v>ログイン・ログアウト</x:v>
      </x:c>
      <x:c r="G22" s="30" t="str">
        <x:v>表示・操作対象</x:v>
      </x:c>
    </x:row>
    <x:row r="23" ht="28" customHeight="1">
      <x:c r="A23" s="30" t="str">
        <x:v>SC-PB-007</x:v>
      </x:c>
      <x:c r="B23" s="30" t="str">
        <x:v>ユーザー新規登録</x:v>
      </x:c>
      <x:c r="C23" s="30" t="n">
        <x:v>41</x:v>
      </x:c>
      <x:c r="D23" s="30" t="str">
        <x:v>ユーザー</x:v>
      </x:c>
      <x:c r="E23" s="30" t="str">
        <x:v>アカウント</x:v>
      </x:c>
      <x:c r="F23" s="30" t="str">
        <x:v>ユーザー登録</x:v>
      </x:c>
      <x:c r="G23" s="30" t="str">
        <x:v>入力・登録</x:v>
      </x:c>
    </x:row>
    <x:row r="24" ht="28" customHeight="1">
      <x:c r="A24" s="30" t="str">
        <x:v>SC-PB-008</x:v>
      </x:c>
      <x:c r="B24" s="30" t="str">
        <x:v>企業アカウント新規登録</x:v>
      </x:c>
      <x:c r="C24" s="30" t="n">
        <x:v>1</x:v>
      </x:c>
      <x:c r="D24" s="30" t="str">
        <x:v>企業</x:v>
      </x:c>
      <x:c r="E24" s="30" t="str">
        <x:v>アカウント・企業情報</x:v>
      </x:c>
      <x:c r="F24" s="30" t="str">
        <x:v>企業アカウント登録</x:v>
      </x:c>
      <x:c r="G24" s="30" t="str">
        <x:v>入力・登録</x:v>
      </x:c>
    </x:row>
    <x:row r="25" ht="28" customHeight="1">
      <x:c r="A25" s="30" t="str">
        <x:v>SC-PB-009</x:v>
      </x:c>
      <x:c r="B25" s="30" t="str">
        <x:v>メール認証案内</x:v>
      </x:c>
      <x:c r="C25" s="30" t="n">
        <x:v>1</x:v>
      </x:c>
      <x:c r="D25" s="30" t="str">
        <x:v>企業</x:v>
      </x:c>
      <x:c r="E25" s="30" t="str">
        <x:v>アカウント・企業情報</x:v>
      </x:c>
      <x:c r="F25" s="30" t="str">
        <x:v>企業アカウント登録</x:v>
      </x:c>
      <x:c r="G25" s="30" t="str">
        <x:v>表示・操作対象</x:v>
      </x:c>
    </x:row>
    <x:row r="26" ht="28" customHeight="1">
      <x:c r="A26" s="30" t="str">
        <x:v>SC-PB-009</x:v>
      </x:c>
      <x:c r="B26" s="30" t="str">
        <x:v>メール認証案内</x:v>
      </x:c>
      <x:c r="C26" s="30" t="n">
        <x:v>42</x:v>
      </x:c>
      <x:c r="D26" s="30" t="str">
        <x:v>ユーザー</x:v>
      </x:c>
      <x:c r="E26" s="30" t="str">
        <x:v>アカウント</x:v>
      </x:c>
      <x:c r="F26" s="30" t="str">
        <x:v>メール認証</x:v>
      </x:c>
      <x:c r="G26" s="30" t="str">
        <x:v>表示・操作対象</x:v>
      </x:c>
    </x:row>
    <x:row r="27" ht="28" customHeight="1">
      <x:c r="A27" s="30" t="str">
        <x:v>SC-PB-010</x:v>
      </x:c>
      <x:c r="B27" s="30" t="str">
        <x:v>メール認証完了</x:v>
      </x:c>
      <x:c r="C27" s="30" t="n">
        <x:v>1</x:v>
      </x:c>
      <x:c r="D27" s="30" t="str">
        <x:v>企業</x:v>
      </x:c>
      <x:c r="E27" s="30" t="str">
        <x:v>アカウント・企業情報</x:v>
      </x:c>
      <x:c r="F27" s="30" t="str">
        <x:v>企業アカウント登録</x:v>
      </x:c>
      <x:c r="G27" s="30" t="str">
        <x:v>表示・操作対象</x:v>
      </x:c>
    </x:row>
    <x:row r="28" ht="28" customHeight="1">
      <x:c r="A28" s="30" t="str">
        <x:v>SC-PB-010</x:v>
      </x:c>
      <x:c r="B28" s="30" t="str">
        <x:v>メール認証完了</x:v>
      </x:c>
      <x:c r="C28" s="30" t="n">
        <x:v>42</x:v>
      </x:c>
      <x:c r="D28" s="30" t="str">
        <x:v>ユーザー</x:v>
      </x:c>
      <x:c r="E28" s="30" t="str">
        <x:v>アカウント</x:v>
      </x:c>
      <x:c r="F28" s="30" t="str">
        <x:v>メール認証</x:v>
      </x:c>
      <x:c r="G28" s="30" t="str">
        <x:v>表示・操作対象</x:v>
      </x:c>
    </x:row>
    <x:row r="29" ht="28" customHeight="1">
      <x:c r="A29" s="30" t="str">
        <x:v>SC-PB-011</x:v>
      </x:c>
      <x:c r="B29" s="30" t="str">
        <x:v>パスワード再設定申請</x:v>
      </x:c>
      <x:c r="C29" s="30" t="n">
        <x:v>81</x:v>
      </x:c>
      <x:c r="D29" s="30" t="str">
        <x:v>共通</x:v>
      </x:c>
      <x:c r="E29" s="30" t="str">
        <x:v>セキュリティ</x:v>
      </x:c>
      <x:c r="F29" s="30" t="str">
        <x:v>パスワード再設定</x:v>
      </x:c>
      <x:c r="G29" s="30" t="str">
        <x:v>入力・登録</x:v>
      </x:c>
    </x:row>
    <x:row r="30" ht="28" customHeight="1">
      <x:c r="A30" s="30" t="str">
        <x:v>SC-PB-012</x:v>
      </x:c>
      <x:c r="B30" s="30" t="str">
        <x:v>パスワード再設定</x:v>
      </x:c>
      <x:c r="C30" s="30" t="n">
        <x:v>81</x:v>
      </x:c>
      <x:c r="D30" s="30" t="str">
        <x:v>共通</x:v>
      </x:c>
      <x:c r="E30" s="30" t="str">
        <x:v>セキュリティ</x:v>
      </x:c>
      <x:c r="F30" s="30" t="str">
        <x:v>パスワード再設定</x:v>
      </x:c>
      <x:c r="G30" s="30" t="str">
        <x:v>表示・操作対象</x:v>
      </x:c>
    </x:row>
    <x:row r="31" ht="28" customHeight="1">
      <x:c r="A31" s="30" t="str">
        <x:v>SC-PB-013</x:v>
      </x:c>
      <x:c r="B31" s="30" t="str">
        <x:v>料金・プラン案内</x:v>
      </x:c>
      <x:c r="C31" s="30" t="n">
        <x:v>7</x:v>
      </x:c>
      <x:c r="D31" s="30" t="str">
        <x:v>企業</x:v>
      </x:c>
      <x:c r="E31" s="30" t="str">
        <x:v>求人掲載</x:v>
      </x:c>
      <x:c r="F31" s="30" t="str">
        <x:v>求人新規作成</x:v>
      </x:c>
      <x:c r="G31" s="30" t="str">
        <x:v>表示・操作対象</x:v>
      </x:c>
    </x:row>
    <x:row r="32" ht="28" customHeight="1">
      <x:c r="A32" s="30" t="str">
        <x:v>SC-PB-013</x:v>
      </x:c>
      <x:c r="B32" s="30" t="str">
        <x:v>料金・プラン案内</x:v>
      </x:c>
      <x:c r="C32" s="30" t="n">
        <x:v>10</x:v>
      </x:c>
      <x:c r="D32" s="30" t="str">
        <x:v>企業</x:v>
      </x:c>
      <x:c r="E32" s="30" t="str">
        <x:v>求人掲載</x:v>
      </x:c>
      <x:c r="F32" s="30" t="str">
        <x:v>求人公開</x:v>
      </x:c>
      <x:c r="G32" s="30" t="str">
        <x:v>表示・操作対象</x:v>
      </x:c>
    </x:row>
    <x:row r="33" ht="28" customHeight="1">
      <x:c r="A33" s="30" t="str">
        <x:v>SC-PB-013</x:v>
      </x:c>
      <x:c r="B33" s="30" t="str">
        <x:v>料金・プラン案内</x:v>
      </x:c>
      <x:c r="C33" s="30" t="n">
        <x:v>28</x:v>
      </x:c>
      <x:c r="D33" s="30" t="str">
        <x:v>企業</x:v>
      </x:c>
      <x:c r="E33" s="30" t="str">
        <x:v>従業員管理</x:v>
      </x:c>
      <x:c r="F33" s="30" t="str">
        <x:v>採用者の従業員登録</x:v>
      </x:c>
      <x:c r="G33" s="30" t="str">
        <x:v>表示・操作対象</x:v>
      </x:c>
    </x:row>
    <x:row r="34" ht="28" customHeight="1">
      <x:c r="A34" s="30" t="str">
        <x:v>SC-PB-013</x:v>
      </x:c>
      <x:c r="B34" s="30" t="str">
        <x:v>料金・プラン案内</x:v>
      </x:c>
      <x:c r="C34" s="30" t="n">
        <x:v>34</x:v>
      </x:c>
      <x:c r="D34" s="30" t="str">
        <x:v>企業</x:v>
      </x:c>
      <x:c r="E34" s="30" t="str">
        <x:v>勤怠</x:v>
      </x:c>
      <x:c r="F34" s="30" t="str">
        <x:v>出勤・退勤打刻</x:v>
      </x:c>
      <x:c r="G34" s="30" t="str">
        <x:v>表示・操作対象</x:v>
      </x:c>
    </x:row>
    <x:row r="35" ht="28" customHeight="1">
      <x:c r="A35" s="30" t="str">
        <x:v>SC-PB-013</x:v>
      </x:c>
      <x:c r="B35" s="30" t="str">
        <x:v>料金・プラン案内</x:v>
      </x:c>
      <x:c r="C35" s="30" t="n">
        <x:v>89</x:v>
      </x:c>
      <x:c r="D35" s="30" t="str">
        <x:v>運営</x:v>
      </x:c>
      <x:c r="E35" s="30" t="str">
        <x:v>料金・契約</x:v>
      </x:c>
      <x:c r="F35" s="30" t="str">
        <x:v>企業プラン管理</x:v>
      </x:c>
      <x:c r="G35" s="30" t="str">
        <x:v>表示・操作対象</x:v>
      </x:c>
    </x:row>
    <x:row r="36" ht="28" customHeight="1">
      <x:c r="A36" s="30" t="str">
        <x:v>SC-PB-013</x:v>
      </x:c>
      <x:c r="B36" s="30" t="str">
        <x:v>料金・プラン案内</x:v>
      </x:c>
      <x:c r="C36" s="30" t="n">
        <x:v>90</x:v>
      </x:c>
      <x:c r="D36" s="30" t="str">
        <x:v>運営</x:v>
      </x:c>
      <x:c r="E36" s="30" t="str">
        <x:v>料金・契約</x:v>
      </x:c>
      <x:c r="F36" s="30" t="str">
        <x:v>評価協力率計算</x:v>
      </x:c>
      <x:c r="G36" s="30" t="str">
        <x:v>表示・操作対象</x:v>
      </x:c>
    </x:row>
    <x:row r="37" ht="28" customHeight="1">
      <x:c r="A37" s="30" t="str">
        <x:v>SC-PB-013</x:v>
      </x:c>
      <x:c r="B37" s="30" t="str">
        <x:v>料金・プラン案内</x:v>
      </x:c>
      <x:c r="C37" s="30" t="n">
        <x:v>91</x:v>
      </x:c>
      <x:c r="D37" s="30" t="str">
        <x:v>運営</x:v>
      </x:c>
      <x:c r="E37" s="30" t="str">
        <x:v>料金・契約</x:v>
      </x:c>
      <x:c r="F37" s="30" t="str">
        <x:v>月額料金算定</x:v>
      </x:c>
      <x:c r="G37" s="30" t="str">
        <x:v>表示・操作対象</x:v>
      </x:c>
    </x:row>
    <x:row r="38" ht="28" customHeight="1">
      <x:c r="A38" s="30" t="str">
        <x:v>SC-PB-014</x:v>
      </x:c>
      <x:c r="B38" s="30" t="str">
        <x:v>お問い合わせ</x:v>
      </x:c>
      <x:c r="C38" s="30" t="n">
        <x:v>94</x:v>
      </x:c>
      <x:c r="D38" s="30" t="str">
        <x:v>運営</x:v>
      </x:c>
      <x:c r="E38" s="30" t="str">
        <x:v>サポート</x:v>
      </x:c>
      <x:c r="F38" s="30" t="str">
        <x:v>問い合わせ管理</x:v>
      </x:c>
      <x:c r="G38" s="30" t="str">
        <x:v>表示・操作対象</x:v>
      </x:c>
    </x:row>
    <x:row r="39" ht="28" customHeight="1">
      <x:c r="A39" s="30" t="str">
        <x:v>SC-PB-016</x:v>
      </x:c>
      <x:c r="B39" s="30" t="str">
        <x:v>権限・上限エラー案内</x:v>
      </x:c>
      <x:c r="C39" s="30" t="n">
        <x:v>10</x:v>
      </x:c>
      <x:c r="D39" s="30" t="str">
        <x:v>企業</x:v>
      </x:c>
      <x:c r="E39" s="30" t="str">
        <x:v>求人掲載</x:v>
      </x:c>
      <x:c r="F39" s="30" t="str">
        <x:v>求人公開</x:v>
      </x:c>
      <x:c r="G39" s="30" t="str">
        <x:v>表示・操作対象</x:v>
      </x:c>
    </x:row>
    <x:row r="40" ht="28" customHeight="1">
      <x:c r="A40" s="30" t="str">
        <x:v>SC-PB-016</x:v>
      </x:c>
      <x:c r="B40" s="30" t="str">
        <x:v>権限・上限エラー案内</x:v>
      </x:c>
      <x:c r="C40" s="30" t="n">
        <x:v>89</x:v>
      </x:c>
      <x:c r="D40" s="30" t="str">
        <x:v>運営</x:v>
      </x:c>
      <x:c r="E40" s="30" t="str">
        <x:v>料金・契約</x:v>
      </x:c>
      <x:c r="F40" s="30" t="str">
        <x:v>企業プラン管理</x:v>
      </x:c>
      <x:c r="G40" s="30" t="str">
        <x:v>表示・操作対象</x:v>
      </x:c>
    </x:row>
    <x:row r="41" ht="28" customHeight="1">
      <x:c r="A41" s="30" t="str">
        <x:v>SC-PB-016</x:v>
      </x:c>
      <x:c r="B41" s="30" t="str">
        <x:v>権限・上限エラー案内</x:v>
      </x:c>
      <x:c r="C41" s="30" t="n">
        <x:v>91</x:v>
      </x:c>
      <x:c r="D41" s="30" t="str">
        <x:v>運営</x:v>
      </x:c>
      <x:c r="E41" s="30" t="str">
        <x:v>料金・契約</x:v>
      </x:c>
      <x:c r="F41" s="30" t="str">
        <x:v>月額料金算定</x:v>
      </x:c>
      <x:c r="G41" s="30" t="str">
        <x:v>表示・操作対象</x:v>
      </x:c>
    </x:row>
    <x:row r="42" ht="28" customHeight="1">
      <x:c r="A42" s="30" t="str">
        <x:v>SC-US-001</x:v>
      </x:c>
      <x:c r="B42" s="30" t="str">
        <x:v>ユーザーマイページ</x:v>
      </x:c>
      <x:c r="C42" s="30" t="n">
        <x:v>52</x:v>
      </x:c>
      <x:c r="D42" s="30" t="str">
        <x:v>ユーザー</x:v>
      </x:c>
      <x:c r="E42" s="30" t="str">
        <x:v>応募</x:v>
      </x:c>
      <x:c r="F42" s="30" t="str">
        <x:v>応募履歴</x:v>
      </x:c>
      <x:c r="G42" s="30" t="str">
        <x:v>表示・操作対象</x:v>
      </x:c>
    </x:row>
    <x:row r="43" ht="28" customHeight="1">
      <x:c r="A43" s="30" t="str">
        <x:v>SC-US-001</x:v>
      </x:c>
      <x:c r="B43" s="30" t="str">
        <x:v>ユーザーマイページ</x:v>
      </x:c>
      <x:c r="C43" s="30" t="n">
        <x:v>55</x:v>
      </x:c>
      <x:c r="D43" s="30" t="str">
        <x:v>ユーザー</x:v>
      </x:c>
      <x:c r="E43" s="30" t="str">
        <x:v>お気に入り</x:v>
      </x:c>
      <x:c r="F43" s="30" t="str">
        <x:v>求人お気に入り</x:v>
      </x:c>
      <x:c r="G43" s="30" t="str">
        <x:v>表示・操作対象</x:v>
      </x:c>
    </x:row>
    <x:row r="44" ht="28" customHeight="1">
      <x:c r="A44" s="30" t="str">
        <x:v>SC-US-001</x:v>
      </x:c>
      <x:c r="B44" s="30" t="str">
        <x:v>ユーザーマイページ</x:v>
      </x:c>
      <x:c r="C44" s="30" t="n">
        <x:v>60</x:v>
      </x:c>
      <x:c r="D44" s="30" t="str">
        <x:v>ユーザー</x:v>
      </x:c>
      <x:c r="E44" s="30" t="str">
        <x:v>評価</x:v>
      </x:c>
      <x:c r="F44" s="30" t="str">
        <x:v>自分への評価確認</x:v>
      </x:c>
      <x:c r="G44" s="30" t="str">
        <x:v>表示・操作対象</x:v>
      </x:c>
    </x:row>
    <x:row r="45" ht="28" customHeight="1">
      <x:c r="A45" s="30" t="str">
        <x:v>SC-US-001</x:v>
      </x:c>
      <x:c r="B45" s="30" t="str">
        <x:v>ユーザーマイページ</x:v>
      </x:c>
      <x:c r="C45" s="30" t="n">
        <x:v>68</x:v>
      </x:c>
      <x:c r="D45" s="30" t="str">
        <x:v>共通</x:v>
      </x:c>
      <x:c r="E45" s="30" t="str">
        <x:v>チャット</x:v>
      </x:c>
      <x:c r="F45" s="30" t="str">
        <x:v>応募チャット作成</x:v>
      </x:c>
      <x:c r="G45" s="30" t="str">
        <x:v>表示・操作対象</x:v>
      </x:c>
    </x:row>
    <x:row r="46" ht="28" customHeight="1">
      <x:c r="A46" s="30" t="str">
        <x:v>SC-US-001</x:v>
      </x:c>
      <x:c r="B46" s="30" t="str">
        <x:v>ユーザーマイページ</x:v>
      </x:c>
      <x:c r="C46" s="30" t="n">
        <x:v>77</x:v>
      </x:c>
      <x:c r="D46" s="30" t="str">
        <x:v>共通</x:v>
      </x:c>
      <x:c r="E46" s="30" t="str">
        <x:v>評価</x:v>
      </x:c>
      <x:c r="F46" s="30" t="str">
        <x:v>評価期限通知</x:v>
      </x:c>
      <x:c r="G46" s="30" t="str">
        <x:v>表示・操作対象</x:v>
      </x:c>
    </x:row>
    <x:row r="47" ht="28" customHeight="1">
      <x:c r="A47" s="30" t="str">
        <x:v>SC-US-001</x:v>
      </x:c>
      <x:c r="B47" s="30" t="str">
        <x:v>ユーザーマイページ</x:v>
      </x:c>
      <x:c r="C47" s="30" t="n">
        <x:v>79</x:v>
      </x:c>
      <x:c r="D47" s="30" t="str">
        <x:v>共通</x:v>
      </x:c>
      <x:c r="E47" s="30" t="str">
        <x:v>通知</x:v>
      </x:c>
      <x:c r="F47" s="30" t="str">
        <x:v>サイト内通知</x:v>
      </x:c>
      <x:c r="G47" s="30" t="str">
        <x:v>表示・操作対象</x:v>
      </x:c>
    </x:row>
    <x:row r="48" ht="28" customHeight="1">
      <x:c r="A48" s="30" t="str">
        <x:v>SC-US-002</x:v>
      </x:c>
      <x:c r="B48" s="30" t="str">
        <x:v>プロフィール確認</x:v>
      </x:c>
      <x:c r="C48" s="30" t="n">
        <x:v>44</x:v>
      </x:c>
      <x:c r="D48" s="30" t="str">
        <x:v>ユーザー</x:v>
      </x:c>
      <x:c r="E48" s="30" t="str">
        <x:v>プロフィール</x:v>
      </x:c>
      <x:c r="F48" s="30" t="str">
        <x:v>基本プロフィール</x:v>
      </x:c>
      <x:c r="G48" s="30" t="str">
        <x:v>確認・参照</x:v>
      </x:c>
    </x:row>
    <x:row r="49" ht="28" customHeight="1">
      <x:c r="A49" s="30" t="str">
        <x:v>SC-US-002</x:v>
      </x:c>
      <x:c r="B49" s="30" t="str">
        <x:v>プロフィール確認</x:v>
      </x:c>
      <x:c r="C49" s="30" t="n">
        <x:v>45</x:v>
      </x:c>
      <x:c r="D49" s="30" t="str">
        <x:v>ユーザー</x:v>
      </x:c>
      <x:c r="E49" s="30" t="str">
        <x:v>プロフィール</x:v>
      </x:c>
      <x:c r="F49" s="30" t="str">
        <x:v>職歴管理</x:v>
      </x:c>
      <x:c r="G49" s="30" t="str">
        <x:v>確認・参照</x:v>
      </x:c>
    </x:row>
    <x:row r="50" ht="28" customHeight="1">
      <x:c r="A50" s="30" t="str">
        <x:v>SC-US-002</x:v>
      </x:c>
      <x:c r="B50" s="30" t="str">
        <x:v>プロフィール確認</x:v>
      </x:c>
      <x:c r="C50" s="30" t="n">
        <x:v>46</x:v>
      </x:c>
      <x:c r="D50" s="30" t="str">
        <x:v>ユーザー</x:v>
      </x:c>
      <x:c r="E50" s="30" t="str">
        <x:v>プロフィール</x:v>
      </x:c>
      <x:c r="F50" s="30" t="str">
        <x:v>学歴管理</x:v>
      </x:c>
      <x:c r="G50" s="30" t="str">
        <x:v>確認・参照</x:v>
      </x:c>
    </x:row>
    <x:row r="51" ht="28" customHeight="1">
      <x:c r="A51" s="30" t="str">
        <x:v>SC-US-002</x:v>
      </x:c>
      <x:c r="B51" s="30" t="str">
        <x:v>プロフィール確認</x:v>
      </x:c>
      <x:c r="C51" s="30" t="n">
        <x:v>47</x:v>
      </x:c>
      <x:c r="D51" s="30" t="str">
        <x:v>ユーザー</x:v>
      </x:c>
      <x:c r="E51" s="30" t="str">
        <x:v>プロフィール</x:v>
      </x:c>
      <x:c r="F51" s="30" t="str">
        <x:v>資格・スキル管理</x:v>
      </x:c>
      <x:c r="G51" s="30" t="str">
        <x:v>確認・参照</x:v>
      </x:c>
    </x:row>
    <x:row r="52" ht="28" customHeight="1">
      <x:c r="A52" s="30" t="str">
        <x:v>SC-US-002</x:v>
      </x:c>
      <x:c r="B52" s="30" t="str">
        <x:v>プロフィール確認</x:v>
      </x:c>
      <x:c r="C52" s="30" t="n">
        <x:v>48</x:v>
      </x:c>
      <x:c r="D52" s="30" t="str">
        <x:v>ユーザー</x:v>
      </x:c>
      <x:c r="E52" s="30" t="str">
        <x:v>プロフィール</x:v>
      </x:c>
      <x:c r="F52" s="30" t="str">
        <x:v>希望条件管理</x:v>
      </x:c>
      <x:c r="G52" s="30" t="str">
        <x:v>確認・参照</x:v>
      </x:c>
    </x:row>
    <x:row r="53" ht="28" customHeight="1">
      <x:c r="A53" s="30" t="str">
        <x:v>SC-US-002</x:v>
      </x:c>
      <x:c r="B53" s="30" t="str">
        <x:v>プロフィール確認</x:v>
      </x:c>
      <x:c r="C53" s="30" t="n">
        <x:v>49</x:v>
      </x:c>
      <x:c r="D53" s="30" t="str">
        <x:v>ユーザー</x:v>
      </x:c>
      <x:c r="E53" s="30" t="str">
        <x:v>プロフィール</x:v>
      </x:c>
      <x:c r="F53" s="30" t="str">
        <x:v>履歴書・職務経歴書</x:v>
      </x:c>
      <x:c r="G53" s="30" t="str">
        <x:v>確認・参照</x:v>
      </x:c>
    </x:row>
    <x:row r="54" ht="28" customHeight="1">
      <x:c r="A54" s="30" t="str">
        <x:v>SC-US-002</x:v>
      </x:c>
      <x:c r="B54" s="30" t="str">
        <x:v>プロフィール確認</x:v>
      </x:c>
      <x:c r="C54" s="30" t="n">
        <x:v>50</x:v>
      </x:c>
      <x:c r="D54" s="30" t="str">
        <x:v>ユーザー</x:v>
      </x:c>
      <x:c r="E54" s="30" t="str">
        <x:v>プロフィール</x:v>
      </x:c>
      <x:c r="F54" s="30" t="str">
        <x:v>プロフィール公開範囲</x:v>
      </x:c>
      <x:c r="G54" s="30" t="str">
        <x:v>確認・参照</x:v>
      </x:c>
    </x:row>
    <x:row r="55" ht="28" customHeight="1">
      <x:c r="A55" s="30" t="str">
        <x:v>SC-US-003</x:v>
      </x:c>
      <x:c r="B55" s="30" t="str">
        <x:v>基本プロフィール編集</x:v>
      </x:c>
      <x:c r="C55" s="30" t="n">
        <x:v>44</x:v>
      </x:c>
      <x:c r="D55" s="30" t="str">
        <x:v>ユーザー</x:v>
      </x:c>
      <x:c r="E55" s="30" t="str">
        <x:v>プロフィール</x:v>
      </x:c>
      <x:c r="F55" s="30" t="str">
        <x:v>基本プロフィール</x:v>
      </x:c>
      <x:c r="G55" s="30" t="str">
        <x:v>入力・登録</x:v>
      </x:c>
    </x:row>
    <x:row r="56" ht="28" customHeight="1">
      <x:c r="A56" s="30" t="str">
        <x:v>SC-US-004</x:v>
      </x:c>
      <x:c r="B56" s="30" t="str">
        <x:v>職歴一覧・編集</x:v>
      </x:c>
      <x:c r="C56" s="30" t="n">
        <x:v>45</x:v>
      </x:c>
      <x:c r="D56" s="30" t="str">
        <x:v>ユーザー</x:v>
      </x:c>
      <x:c r="E56" s="30" t="str">
        <x:v>プロフィール</x:v>
      </x:c>
      <x:c r="F56" s="30" t="str">
        <x:v>職歴管理</x:v>
      </x:c>
      <x:c r="G56" s="30" t="str">
        <x:v>一覧表示・検索</x:v>
      </x:c>
    </x:row>
    <x:row r="57" ht="28" customHeight="1">
      <x:c r="A57" s="30" t="str">
        <x:v>SC-US-005</x:v>
      </x:c>
      <x:c r="B57" s="30" t="str">
        <x:v>学歴一覧・編集</x:v>
      </x:c>
      <x:c r="C57" s="30" t="n">
        <x:v>46</x:v>
      </x:c>
      <x:c r="D57" s="30" t="str">
        <x:v>ユーザー</x:v>
      </x:c>
      <x:c r="E57" s="30" t="str">
        <x:v>プロフィール</x:v>
      </x:c>
      <x:c r="F57" s="30" t="str">
        <x:v>学歴管理</x:v>
      </x:c>
      <x:c r="G57" s="30" t="str">
        <x:v>一覧表示・検索</x:v>
      </x:c>
    </x:row>
    <x:row r="58" ht="28" customHeight="1">
      <x:c r="A58" s="30" t="str">
        <x:v>SC-US-006</x:v>
      </x:c>
      <x:c r="B58" s="30" t="str">
        <x:v>資格・スキル編集</x:v>
      </x:c>
      <x:c r="C58" s="30" t="n">
        <x:v>47</x:v>
      </x:c>
      <x:c r="D58" s="30" t="str">
        <x:v>ユーザー</x:v>
      </x:c>
      <x:c r="E58" s="30" t="str">
        <x:v>プロフィール</x:v>
      </x:c>
      <x:c r="F58" s="30" t="str">
        <x:v>資格・スキル管理</x:v>
      </x:c>
      <x:c r="G58" s="30" t="str">
        <x:v>入力・登録</x:v>
      </x:c>
    </x:row>
    <x:row r="59" ht="28" customHeight="1">
      <x:c r="A59" s="30" t="str">
        <x:v>SC-US-007</x:v>
      </x:c>
      <x:c r="B59" s="30" t="str">
        <x:v>希望条件編集</x:v>
      </x:c>
      <x:c r="C59" s="30" t="n">
        <x:v>48</x:v>
      </x:c>
      <x:c r="D59" s="30" t="str">
        <x:v>ユーザー</x:v>
      </x:c>
      <x:c r="E59" s="30" t="str">
        <x:v>プロフィール</x:v>
      </x:c>
      <x:c r="F59" s="30" t="str">
        <x:v>希望条件管理</x:v>
      </x:c>
      <x:c r="G59" s="30" t="str">
        <x:v>入力・登録</x:v>
      </x:c>
    </x:row>
    <x:row r="60" ht="28" customHeight="1">
      <x:c r="A60" s="30" t="str">
        <x:v>SC-US-008</x:v>
      </x:c>
      <x:c r="B60" s="30" t="str">
        <x:v>履歴書・職務経歴書管理</x:v>
      </x:c>
      <x:c r="C60" s="30" t="n">
        <x:v>49</x:v>
      </x:c>
      <x:c r="D60" s="30" t="str">
        <x:v>ユーザー</x:v>
      </x:c>
      <x:c r="E60" s="30" t="str">
        <x:v>プロフィール</x:v>
      </x:c>
      <x:c r="F60" s="30" t="str">
        <x:v>履歴書・職務経歴書</x:v>
      </x:c>
      <x:c r="G60" s="30" t="str">
        <x:v>確認・参照</x:v>
      </x:c>
    </x:row>
    <x:row r="61" ht="28" customHeight="1">
      <x:c r="A61" s="30" t="str">
        <x:v>SC-US-009</x:v>
      </x:c>
      <x:c r="B61" s="30" t="str">
        <x:v>プロフィール公開範囲設定</x:v>
      </x:c>
      <x:c r="C61" s="30" t="n">
        <x:v>50</x:v>
      </x:c>
      <x:c r="D61" s="30" t="str">
        <x:v>ユーザー</x:v>
      </x:c>
      <x:c r="E61" s="30" t="str">
        <x:v>プロフィール</x:v>
      </x:c>
      <x:c r="F61" s="30" t="str">
        <x:v>プロフィール公開範囲</x:v>
      </x:c>
      <x:c r="G61" s="30" t="str">
        <x:v>表示・操作対象</x:v>
      </x:c>
    </x:row>
    <x:row r="62" ht="28" customHeight="1">
      <x:c r="A62" s="30" t="str">
        <x:v>SC-US-010</x:v>
      </x:c>
      <x:c r="B62" s="30" t="str">
        <x:v>求人応募確認</x:v>
      </x:c>
      <x:c r="C62" s="30" t="n">
        <x:v>51</x:v>
      </x:c>
      <x:c r="D62" s="30" t="str">
        <x:v>ユーザー</x:v>
      </x:c>
      <x:c r="E62" s="30" t="str">
        <x:v>応募</x:v>
      </x:c>
      <x:c r="F62" s="30" t="str">
        <x:v>求人応募</x:v>
      </x:c>
      <x:c r="G62" s="30" t="str">
        <x:v>確認・参照</x:v>
      </x:c>
    </x:row>
    <x:row r="63" ht="28" customHeight="1">
      <x:c r="A63" s="30" t="str">
        <x:v>SC-US-011</x:v>
      </x:c>
      <x:c r="B63" s="30" t="str">
        <x:v>応募完了</x:v>
      </x:c>
      <x:c r="C63" s="30" t="n">
        <x:v>51</x:v>
      </x:c>
      <x:c r="D63" s="30" t="str">
        <x:v>ユーザー</x:v>
      </x:c>
      <x:c r="E63" s="30" t="str">
        <x:v>応募</x:v>
      </x:c>
      <x:c r="F63" s="30" t="str">
        <x:v>求人応募</x:v>
      </x:c>
      <x:c r="G63" s="30" t="str">
        <x:v>表示・操作対象</x:v>
      </x:c>
    </x:row>
    <x:row r="64" ht="28" customHeight="1">
      <x:c r="A64" s="30" t="str">
        <x:v>SC-US-011</x:v>
      </x:c>
      <x:c r="B64" s="30" t="str">
        <x:v>応募完了</x:v>
      </x:c>
      <x:c r="C64" s="30" t="n">
        <x:v>68</x:v>
      </x:c>
      <x:c r="D64" s="30" t="str">
        <x:v>共通</x:v>
      </x:c>
      <x:c r="E64" s="30" t="str">
        <x:v>チャット</x:v>
      </x:c>
      <x:c r="F64" s="30" t="str">
        <x:v>応募チャット作成</x:v>
      </x:c>
      <x:c r="G64" s="30" t="str">
        <x:v>表示・操作対象</x:v>
      </x:c>
    </x:row>
    <x:row r="65" ht="28" customHeight="1">
      <x:c r="A65" s="30" t="str">
        <x:v>SC-US-012</x:v>
      </x:c>
      <x:c r="B65" s="30" t="str">
        <x:v>応募履歴一覧</x:v>
      </x:c>
      <x:c r="C65" s="30" t="n">
        <x:v>52</x:v>
      </x:c>
      <x:c r="D65" s="30" t="str">
        <x:v>ユーザー</x:v>
      </x:c>
      <x:c r="E65" s="30" t="str">
        <x:v>応募</x:v>
      </x:c>
      <x:c r="F65" s="30" t="str">
        <x:v>応募履歴</x:v>
      </x:c>
      <x:c r="G65" s="30" t="str">
        <x:v>一覧表示・検索</x:v>
      </x:c>
    </x:row>
    <x:row r="66" ht="28" customHeight="1">
      <x:c r="A66" s="30" t="str">
        <x:v>SC-US-013</x:v>
      </x:c>
      <x:c r="B66" s="30" t="str">
        <x:v>応募詳細</x:v>
      </x:c>
      <x:c r="C66" s="30" t="n">
        <x:v>52</x:v>
      </x:c>
      <x:c r="D66" s="30" t="str">
        <x:v>ユーザー</x:v>
      </x:c>
      <x:c r="E66" s="30" t="str">
        <x:v>応募</x:v>
      </x:c>
      <x:c r="F66" s="30" t="str">
        <x:v>応募履歴</x:v>
      </x:c>
      <x:c r="G66" s="30" t="str">
        <x:v>確認・参照</x:v>
      </x:c>
    </x:row>
    <x:row r="67" ht="28" customHeight="1">
      <x:c r="A67" s="30" t="str">
        <x:v>SC-US-013</x:v>
      </x:c>
      <x:c r="B67" s="30" t="str">
        <x:v>応募詳細</x:v>
      </x:c>
      <x:c r="C67" s="30" t="n">
        <x:v>53</x:v>
      </x:c>
      <x:c r="D67" s="30" t="str">
        <x:v>ユーザー</x:v>
      </x:c>
      <x:c r="E67" s="30" t="str">
        <x:v>応募</x:v>
      </x:c>
      <x:c r="F67" s="30" t="str">
        <x:v>応募辞退</x:v>
      </x:c>
      <x:c r="G67" s="30" t="str">
        <x:v>確認・参照</x:v>
      </x:c>
    </x:row>
    <x:row r="68" ht="28" customHeight="1">
      <x:c r="A68" s="30" t="str">
        <x:v>SC-US-013</x:v>
      </x:c>
      <x:c r="B68" s="30" t="str">
        <x:v>応募詳細</x:v>
      </x:c>
      <x:c r="C68" s="30" t="n">
        <x:v>54</x:v>
      </x:c>
      <x:c r="D68" s="30" t="str">
        <x:v>ユーザー</x:v>
      </x:c>
      <x:c r="E68" s="30" t="str">
        <x:v>応募</x:v>
      </x:c>
      <x:c r="F68" s="30" t="str">
        <x:v>内定承諾・辞退</x:v>
      </x:c>
      <x:c r="G68" s="30" t="str">
        <x:v>確認・参照</x:v>
      </x:c>
    </x:row>
    <x:row r="69" ht="28" customHeight="1">
      <x:c r="A69" s="30" t="str">
        <x:v>SC-US-013</x:v>
      </x:c>
      <x:c r="B69" s="30" t="str">
        <x:v>応募詳細</x:v>
      </x:c>
      <x:c r="C69" s="30" t="n">
        <x:v>68</x:v>
      </x:c>
      <x:c r="D69" s="30" t="str">
        <x:v>共通</x:v>
      </x:c>
      <x:c r="E69" s="30" t="str">
        <x:v>チャット</x:v>
      </x:c>
      <x:c r="F69" s="30" t="str">
        <x:v>応募チャット作成</x:v>
      </x:c>
      <x:c r="G69" s="30" t="str">
        <x:v>確認・参照</x:v>
      </x:c>
    </x:row>
    <x:row r="70" ht="28" customHeight="1">
      <x:c r="A70" s="30" t="str">
        <x:v>SC-US-014</x:v>
      </x:c>
      <x:c r="B70" s="30" t="str">
        <x:v>応募辞退確認</x:v>
      </x:c>
      <x:c r="C70" s="30" t="n">
        <x:v>53</x:v>
      </x:c>
      <x:c r="D70" s="30" t="str">
        <x:v>ユーザー</x:v>
      </x:c>
      <x:c r="E70" s="30" t="str">
        <x:v>応募</x:v>
      </x:c>
      <x:c r="F70" s="30" t="str">
        <x:v>応募辞退</x:v>
      </x:c>
      <x:c r="G70" s="30" t="str">
        <x:v>確認・参照</x:v>
      </x:c>
    </x:row>
    <x:row r="71" ht="28" customHeight="1">
      <x:c r="A71" s="30" t="str">
        <x:v>SC-US-015</x:v>
      </x:c>
      <x:c r="B71" s="30" t="str">
        <x:v>内定承諾・辞退</x:v>
      </x:c>
      <x:c r="C71" s="30" t="n">
        <x:v>54</x:v>
      </x:c>
      <x:c r="D71" s="30" t="str">
        <x:v>ユーザー</x:v>
      </x:c>
      <x:c r="E71" s="30" t="str">
        <x:v>応募</x:v>
      </x:c>
      <x:c r="F71" s="30" t="str">
        <x:v>内定承諾・辞退</x:v>
      </x:c>
      <x:c r="G71" s="30" t="str">
        <x:v>表示・操作対象</x:v>
      </x:c>
    </x:row>
    <x:row r="72" ht="28" customHeight="1">
      <x:c r="A72" s="30" t="str">
        <x:v>SC-US-016</x:v>
      </x:c>
      <x:c r="B72" s="30" t="str">
        <x:v>お気に入り求人一覧</x:v>
      </x:c>
      <x:c r="C72" s="30" t="n">
        <x:v>55</x:v>
      </x:c>
      <x:c r="D72" s="30" t="str">
        <x:v>ユーザー</x:v>
      </x:c>
      <x:c r="E72" s="30" t="str">
        <x:v>お気に入り</x:v>
      </x:c>
      <x:c r="F72" s="30" t="str">
        <x:v>求人お気に入り</x:v>
      </x:c>
      <x:c r="G72" s="30" t="str">
        <x:v>一覧表示・検索</x:v>
      </x:c>
    </x:row>
    <x:row r="73" ht="28" customHeight="1">
      <x:c r="A73" s="30" t="str">
        <x:v>SC-US-017</x:v>
      </x:c>
      <x:c r="B73" s="30" t="str">
        <x:v>お気に入り企業一覧</x:v>
      </x:c>
      <x:c r="C73" s="30" t="n">
        <x:v>56</x:v>
      </x:c>
      <x:c r="D73" s="30" t="str">
        <x:v>ユーザー</x:v>
      </x:c>
      <x:c r="E73" s="30" t="str">
        <x:v>お気に入り</x:v>
      </x:c>
      <x:c r="F73" s="30" t="str">
        <x:v>企業お気に入り</x:v>
      </x:c>
      <x:c r="G73" s="30" t="str">
        <x:v>一覧表示・検索</x:v>
      </x:c>
    </x:row>
    <x:row r="74" ht="28" customHeight="1">
      <x:c r="A74" s="30" t="str">
        <x:v>SC-US-018</x:v>
      </x:c>
      <x:c r="B74" s="30" t="str">
        <x:v>チャット一覧</x:v>
      </x:c>
      <x:c r="C74" s="30" t="n">
        <x:v>68</x:v>
      </x:c>
      <x:c r="D74" s="30" t="str">
        <x:v>共通</x:v>
      </x:c>
      <x:c r="E74" s="30" t="str">
        <x:v>チャット</x:v>
      </x:c>
      <x:c r="F74" s="30" t="str">
        <x:v>応募チャット作成</x:v>
      </x:c>
      <x:c r="G74" s="30" t="str">
        <x:v>一覧表示・検索</x:v>
      </x:c>
    </x:row>
    <x:row r="75" ht="28" customHeight="1">
      <x:c r="A75" s="30" t="str">
        <x:v>SC-US-018</x:v>
      </x:c>
      <x:c r="B75" s="30" t="str">
        <x:v>チャット一覧</x:v>
      </x:c>
      <x:c r="C75" s="30" t="n">
        <x:v>69</x:v>
      </x:c>
      <x:c r="D75" s="30" t="str">
        <x:v>共通</x:v>
      </x:c>
      <x:c r="E75" s="30" t="str">
        <x:v>チャット</x:v>
      </x:c>
      <x:c r="F75" s="30" t="str">
        <x:v>企業問い合わせチャット</x:v>
      </x:c>
      <x:c r="G75" s="30" t="str">
        <x:v>一覧表示・検索</x:v>
      </x:c>
    </x:row>
    <x:row r="76" ht="28" customHeight="1">
      <x:c r="A76" s="30" t="str">
        <x:v>SC-US-018</x:v>
      </x:c>
      <x:c r="B76" s="30" t="str">
        <x:v>チャット一覧</x:v>
      </x:c>
      <x:c r="C76" s="30" t="n">
        <x:v>71</x:v>
      </x:c>
      <x:c r="D76" s="30" t="str">
        <x:v>共通</x:v>
      </x:c>
      <x:c r="E76" s="30" t="str">
        <x:v>チャット</x:v>
      </x:c>
      <x:c r="F76" s="30" t="str">
        <x:v>既読・未読管理</x:v>
      </x:c>
      <x:c r="G76" s="30" t="str">
        <x:v>一覧表示・検索</x:v>
      </x:c>
    </x:row>
    <x:row r="77" ht="28" customHeight="1">
      <x:c r="A77" s="30" t="str">
        <x:v>SC-US-019</x:v>
      </x:c>
      <x:c r="B77" s="30" t="str">
        <x:v>チャットルーム</x:v>
      </x:c>
      <x:c r="C77" s="30" t="n">
        <x:v>70</x:v>
      </x:c>
      <x:c r="D77" s="30" t="str">
        <x:v>共通</x:v>
      </x:c>
      <x:c r="E77" s="30" t="str">
        <x:v>チャット</x:v>
      </x:c>
      <x:c r="F77" s="30" t="str">
        <x:v>メッセージ送受信</x:v>
      </x:c>
      <x:c r="G77" s="30" t="str">
        <x:v>表示・操作対象</x:v>
      </x:c>
    </x:row>
    <x:row r="78" ht="28" customHeight="1">
      <x:c r="A78" s="30" t="str">
        <x:v>SC-US-019</x:v>
      </x:c>
      <x:c r="B78" s="30" t="str">
        <x:v>チャットルーム</x:v>
      </x:c>
      <x:c r="C78" s="30" t="n">
        <x:v>71</x:v>
      </x:c>
      <x:c r="D78" s="30" t="str">
        <x:v>共通</x:v>
      </x:c>
      <x:c r="E78" s="30" t="str">
        <x:v>チャット</x:v>
      </x:c>
      <x:c r="F78" s="30" t="str">
        <x:v>既読・未読管理</x:v>
      </x:c>
      <x:c r="G78" s="30" t="str">
        <x:v>表示・操作対象</x:v>
      </x:c>
    </x:row>
    <x:row r="79" ht="28" customHeight="1">
      <x:c r="A79" s="30" t="str">
        <x:v>SC-US-019</x:v>
      </x:c>
      <x:c r="B79" s="30" t="str">
        <x:v>チャットルーム</x:v>
      </x:c>
      <x:c r="C79" s="30" t="n">
        <x:v>72</x:v>
      </x:c>
      <x:c r="D79" s="30" t="str">
        <x:v>共通</x:v>
      </x:c>
      <x:c r="E79" s="30" t="str">
        <x:v>チャット</x:v>
      </x:c>
      <x:c r="F79" s="30" t="str">
        <x:v>添付ファイル送信</x:v>
      </x:c>
      <x:c r="G79" s="30" t="str">
        <x:v>表示・操作対象</x:v>
      </x:c>
    </x:row>
    <x:row r="80" ht="28" customHeight="1">
      <x:c r="A80" s="30" t="str">
        <x:v>SC-US-019</x:v>
      </x:c>
      <x:c r="B80" s="30" t="str">
        <x:v>チャットルーム</x:v>
      </x:c>
      <x:c r="C80" s="30" t="n">
        <x:v>73</x:v>
      </x:c>
      <x:c r="D80" s="30" t="str">
        <x:v>共通</x:v>
      </x:c>
      <x:c r="E80" s="30" t="str">
        <x:v>チャット</x:v>
      </x:c>
      <x:c r="F80" s="30" t="str">
        <x:v>チャットルーム終了</x:v>
      </x:c>
      <x:c r="G80" s="30" t="str">
        <x:v>表示・操作対象</x:v>
      </x:c>
    </x:row>
    <x:row r="81" ht="28" customHeight="1">
      <x:c r="A81" s="30" t="str">
        <x:v>SC-US-019</x:v>
      </x:c>
      <x:c r="B81" s="30" t="str">
        <x:v>チャットルーム</x:v>
      </x:c>
      <x:c r="C81" s="30" t="n">
        <x:v>74</x:v>
      </x:c>
      <x:c r="D81" s="30" t="str">
        <x:v>共通</x:v>
      </x:c>
      <x:c r="E81" s="30" t="str">
        <x:v>チャット</x:v>
      </x:c>
      <x:c r="F81" s="30" t="str">
        <x:v>メッセージ保存期限</x:v>
      </x:c>
      <x:c r="G81" s="30" t="str">
        <x:v>表示・操作対象</x:v>
      </x:c>
    </x:row>
    <x:row r="82" ht="28" customHeight="1">
      <x:c r="A82" s="30" t="str">
        <x:v>SC-US-020</x:v>
      </x:c>
      <x:c r="B82" s="30" t="str">
        <x:v>企業問い合わせ開始</x:v>
      </x:c>
      <x:c r="C82" s="30" t="n">
        <x:v>69</x:v>
      </x:c>
      <x:c r="D82" s="30" t="str">
        <x:v>共通</x:v>
      </x:c>
      <x:c r="E82" s="30" t="str">
        <x:v>チャット</x:v>
      </x:c>
      <x:c r="F82" s="30" t="str">
        <x:v>企業問い合わせチャット</x:v>
      </x:c>
      <x:c r="G82" s="30" t="str">
        <x:v>表示・操作対象</x:v>
      </x:c>
    </x:row>
    <x:row r="83" ht="28" customHeight="1">
      <x:c r="A83" s="30" t="str">
        <x:v>SC-US-021</x:v>
      </x:c>
      <x:c r="B83" s="30" t="str">
        <x:v>評価対象一覧</x:v>
      </x:c>
      <x:c r="C83" s="30" t="n">
        <x:v>57</x:v>
      </x:c>
      <x:c r="D83" s="30" t="str">
        <x:v>ユーザー</x:v>
      </x:c>
      <x:c r="E83" s="30" t="str">
        <x:v>評価</x:v>
      </x:c>
      <x:c r="F83" s="30" t="str">
        <x:v>企業評価登録</x:v>
      </x:c>
      <x:c r="G83" s="30" t="str">
        <x:v>一覧表示・検索</x:v>
      </x:c>
    </x:row>
    <x:row r="84" ht="28" customHeight="1">
      <x:c r="A84" s="30" t="str">
        <x:v>SC-US-021</x:v>
      </x:c>
      <x:c r="B84" s="30" t="str">
        <x:v>評価対象一覧</x:v>
      </x:c>
      <x:c r="C84" s="30" t="n">
        <x:v>59</x:v>
      </x:c>
      <x:c r="D84" s="30" t="str">
        <x:v>ユーザー</x:v>
      </x:c>
      <x:c r="E84" s="30" t="str">
        <x:v>評価</x:v>
      </x:c>
      <x:c r="F84" s="30" t="str">
        <x:v>評価下書き・確定</x:v>
      </x:c>
      <x:c r="G84" s="30" t="str">
        <x:v>一覧表示・検索</x:v>
      </x:c>
    </x:row>
    <x:row r="85" ht="28" customHeight="1">
      <x:c r="A85" s="30" t="str">
        <x:v>SC-US-021</x:v>
      </x:c>
      <x:c r="B85" s="30" t="str">
        <x:v>評価対象一覧</x:v>
      </x:c>
      <x:c r="C85" s="30" t="n">
        <x:v>76</x:v>
      </x:c>
      <x:c r="D85" s="30" t="str">
        <x:v>共通</x:v>
      </x:c>
      <x:c r="E85" s="30" t="str">
        <x:v>評価</x:v>
      </x:c>
      <x:c r="F85" s="30" t="str">
        <x:v>評価対象判定</x:v>
      </x:c>
      <x:c r="G85" s="30" t="str">
        <x:v>一覧表示・検索</x:v>
      </x:c>
    </x:row>
    <x:row r="86" ht="28" customHeight="1">
      <x:c r="A86" s="30" t="str">
        <x:v>SC-US-021</x:v>
      </x:c>
      <x:c r="B86" s="30" t="str">
        <x:v>評価対象一覧</x:v>
      </x:c>
      <x:c r="C86" s="30" t="n">
        <x:v>77</x:v>
      </x:c>
      <x:c r="D86" s="30" t="str">
        <x:v>共通</x:v>
      </x:c>
      <x:c r="E86" s="30" t="str">
        <x:v>評価</x:v>
      </x:c>
      <x:c r="F86" s="30" t="str">
        <x:v>評価期限通知</x:v>
      </x:c>
      <x:c r="G86" s="30" t="str">
        <x:v>一覧表示・検索</x:v>
      </x:c>
    </x:row>
    <x:row r="87" ht="28" customHeight="1">
      <x:c r="A87" s="30" t="str">
        <x:v>SC-US-022</x:v>
      </x:c>
      <x:c r="B87" s="30" t="str">
        <x:v>企業評価入力</x:v>
      </x:c>
      <x:c r="C87" s="30" t="n">
        <x:v>57</x:v>
      </x:c>
      <x:c r="D87" s="30" t="str">
        <x:v>ユーザー</x:v>
      </x:c>
      <x:c r="E87" s="30" t="str">
        <x:v>評価</x:v>
      </x:c>
      <x:c r="F87" s="30" t="str">
        <x:v>企業評価登録</x:v>
      </x:c>
      <x:c r="G87" s="30" t="str">
        <x:v>入力・登録</x:v>
      </x:c>
    </x:row>
    <x:row r="88" ht="28" customHeight="1">
      <x:c r="A88" s="30" t="str">
        <x:v>SC-US-022</x:v>
      </x:c>
      <x:c r="B88" s="30" t="str">
        <x:v>企業評価入力</x:v>
      </x:c>
      <x:c r="C88" s="30" t="n">
        <x:v>58</x:v>
      </x:c>
      <x:c r="D88" s="30" t="str">
        <x:v>ユーザー</x:v>
      </x:c>
      <x:c r="E88" s="30" t="str">
        <x:v>評価</x:v>
      </x:c>
      <x:c r="F88" s="30" t="str">
        <x:v>評価コメント登録</x:v>
      </x:c>
      <x:c r="G88" s="30" t="str">
        <x:v>入力・登録</x:v>
      </x:c>
    </x:row>
    <x:row r="89" ht="28" customHeight="1">
      <x:c r="A89" s="30" t="str">
        <x:v>SC-US-022</x:v>
      </x:c>
      <x:c r="B89" s="30" t="str">
        <x:v>企業評価入力</x:v>
      </x:c>
      <x:c r="C89" s="30" t="n">
        <x:v>59</x:v>
      </x:c>
      <x:c r="D89" s="30" t="str">
        <x:v>ユーザー</x:v>
      </x:c>
      <x:c r="E89" s="30" t="str">
        <x:v>評価</x:v>
      </x:c>
      <x:c r="F89" s="30" t="str">
        <x:v>評価下書き・確定</x:v>
      </x:c>
      <x:c r="G89" s="30" t="str">
        <x:v>入力・登録</x:v>
      </x:c>
    </x:row>
    <x:row r="90" ht="28" customHeight="1">
      <x:c r="A90" s="30" t="str">
        <x:v>SC-US-023</x:v>
      </x:c>
      <x:c r="B90" s="30" t="str">
        <x:v>企業評価確認</x:v>
      </x:c>
      <x:c r="C90" s="30" t="n">
        <x:v>59</x:v>
      </x:c>
      <x:c r="D90" s="30" t="str">
        <x:v>ユーザー</x:v>
      </x:c>
      <x:c r="E90" s="30" t="str">
        <x:v>評価</x:v>
      </x:c>
      <x:c r="F90" s="30" t="str">
        <x:v>評価下書き・確定</x:v>
      </x:c>
      <x:c r="G90" s="30" t="str">
        <x:v>確認・参照</x:v>
      </x:c>
    </x:row>
    <x:row r="91" ht="28" customHeight="1">
      <x:c r="A91" s="30" t="str">
        <x:v>SC-US-023</x:v>
      </x:c>
      <x:c r="B91" s="30" t="str">
        <x:v>企業評価確認</x:v>
      </x:c>
      <x:c r="C91" s="30" t="n">
        <x:v>75</x:v>
      </x:c>
      <x:c r="D91" s="30" t="str">
        <x:v>共通</x:v>
      </x:c>
      <x:c r="E91" s="30" t="str">
        <x:v>評価</x:v>
      </x:c>
      <x:c r="F91" s="30" t="str">
        <x:v>双方同時公開</x:v>
      </x:c>
      <x:c r="G91" s="30" t="str">
        <x:v>確認・参照</x:v>
      </x:c>
    </x:row>
    <x:row r="92" ht="28" customHeight="1">
      <x:c r="A92" s="30" t="str">
        <x:v>SC-US-024</x:v>
      </x:c>
      <x:c r="B92" s="30" t="str">
        <x:v>企業評価完了</x:v>
      </x:c>
      <x:c r="C92" s="30" t="n">
        <x:v>59</x:v>
      </x:c>
      <x:c r="D92" s="30" t="str">
        <x:v>ユーザー</x:v>
      </x:c>
      <x:c r="E92" s="30" t="str">
        <x:v>評価</x:v>
      </x:c>
      <x:c r="F92" s="30" t="str">
        <x:v>評価下書き・確定</x:v>
      </x:c>
      <x:c r="G92" s="30" t="str">
        <x:v>表示・操作対象</x:v>
      </x:c>
    </x:row>
    <x:row r="93" ht="28" customHeight="1">
      <x:c r="A93" s="30" t="str">
        <x:v>SC-US-024</x:v>
      </x:c>
      <x:c r="B93" s="30" t="str">
        <x:v>企業評価完了</x:v>
      </x:c>
      <x:c r="C93" s="30" t="n">
        <x:v>75</x:v>
      </x:c>
      <x:c r="D93" s="30" t="str">
        <x:v>共通</x:v>
      </x:c>
      <x:c r="E93" s="30" t="str">
        <x:v>評価</x:v>
      </x:c>
      <x:c r="F93" s="30" t="str">
        <x:v>双方同時公開</x:v>
      </x:c>
      <x:c r="G93" s="30" t="str">
        <x:v>表示・操作対象</x:v>
      </x:c>
    </x:row>
    <x:row r="94" ht="28" customHeight="1">
      <x:c r="A94" s="30" t="str">
        <x:v>SC-US-025</x:v>
      </x:c>
      <x:c r="B94" s="30" t="str">
        <x:v>自分への評価一覧</x:v>
      </x:c>
      <x:c r="C94" s="30" t="n">
        <x:v>60</x:v>
      </x:c>
      <x:c r="D94" s="30" t="str">
        <x:v>ユーザー</x:v>
      </x:c>
      <x:c r="E94" s="30" t="str">
        <x:v>評価</x:v>
      </x:c>
      <x:c r="F94" s="30" t="str">
        <x:v>自分への評価確認</x:v>
      </x:c>
      <x:c r="G94" s="30" t="str">
        <x:v>一覧表示・検索</x:v>
      </x:c>
    </x:row>
    <x:row r="95" ht="28" customHeight="1">
      <x:c r="A95" s="30" t="str">
        <x:v>SC-US-025</x:v>
      </x:c>
      <x:c r="B95" s="30" t="str">
        <x:v>自分への評価一覧</x:v>
      </x:c>
      <x:c r="C95" s="30" t="n">
        <x:v>75</x:v>
      </x:c>
      <x:c r="D95" s="30" t="str">
        <x:v>共通</x:v>
      </x:c>
      <x:c r="E95" s="30" t="str">
        <x:v>評価</x:v>
      </x:c>
      <x:c r="F95" s="30" t="str">
        <x:v>双方同時公開</x:v>
      </x:c>
      <x:c r="G95" s="30" t="str">
        <x:v>一覧表示・検索</x:v>
      </x:c>
    </x:row>
    <x:row r="96" ht="28" customHeight="1">
      <x:c r="A96" s="30" t="str">
        <x:v>SC-US-026</x:v>
      </x:c>
      <x:c r="B96" s="30" t="str">
        <x:v>評価異議申立て・通報</x:v>
      </x:c>
      <x:c r="C96" s="30" t="n">
        <x:v>61</x:v>
      </x:c>
      <x:c r="D96" s="30" t="str">
        <x:v>ユーザー</x:v>
      </x:c>
      <x:c r="E96" s="30" t="str">
        <x:v>評価</x:v>
      </x:c>
      <x:c r="F96" s="30" t="str">
        <x:v>評価への異議申立て</x:v>
      </x:c>
      <x:c r="G96" s="30" t="str">
        <x:v>表示・操作対象</x:v>
      </x:c>
    </x:row>
    <x:row r="97" ht="28" customHeight="1">
      <x:c r="A97" s="30" t="str">
        <x:v>SC-US-026</x:v>
      </x:c>
      <x:c r="B97" s="30" t="str">
        <x:v>評価異議申立て・通報</x:v>
      </x:c>
      <x:c r="C97" s="30" t="n">
        <x:v>78</x:v>
      </x:c>
      <x:c r="D97" s="30" t="str">
        <x:v>共通</x:v>
      </x:c>
      <x:c r="E97" s="30" t="str">
        <x:v>評価</x:v>
      </x:c>
      <x:c r="F97" s="30" t="str">
        <x:v>評価通報</x:v>
      </x:c>
      <x:c r="G97" s="30" t="str">
        <x:v>表示・操作対象</x:v>
      </x:c>
    </x:row>
    <x:row r="98" ht="28" customHeight="1">
      <x:c r="A98" s="30" t="str">
        <x:v>SC-US-027</x:v>
      </x:c>
      <x:c r="B98" s="30" t="str">
        <x:v>通知一覧</x:v>
      </x:c>
      <x:c r="C98" s="30" t="n">
        <x:v>77</x:v>
      </x:c>
      <x:c r="D98" s="30" t="str">
        <x:v>共通</x:v>
      </x:c>
      <x:c r="E98" s="30" t="str">
        <x:v>評価</x:v>
      </x:c>
      <x:c r="F98" s="30" t="str">
        <x:v>評価期限通知</x:v>
      </x:c>
      <x:c r="G98" s="30" t="str">
        <x:v>一覧表示・検索</x:v>
      </x:c>
    </x:row>
    <x:row r="99" ht="28" customHeight="1">
      <x:c r="A99" s="30" t="str">
        <x:v>SC-US-027</x:v>
      </x:c>
      <x:c r="B99" s="30" t="str">
        <x:v>通知一覧</x:v>
      </x:c>
      <x:c r="C99" s="30" t="n">
        <x:v>79</x:v>
      </x:c>
      <x:c r="D99" s="30" t="str">
        <x:v>共通</x:v>
      </x:c>
      <x:c r="E99" s="30" t="str">
        <x:v>通知</x:v>
      </x:c>
      <x:c r="F99" s="30" t="str">
        <x:v>サイト内通知</x:v>
      </x:c>
      <x:c r="G99" s="30" t="str">
        <x:v>一覧表示・検索</x:v>
      </x:c>
    </x:row>
    <x:row r="100" ht="28" customHeight="1">
      <x:c r="A100" s="30" t="str">
        <x:v>SC-US-027</x:v>
      </x:c>
      <x:c r="B100" s="30" t="str">
        <x:v>通知一覧</x:v>
      </x:c>
      <x:c r="C100" s="30" t="n">
        <x:v>80</x:v>
      </x:c>
      <x:c r="D100" s="30" t="str">
        <x:v>共通</x:v>
      </x:c>
      <x:c r="E100" s="30" t="str">
        <x:v>通知</x:v>
      </x:c>
      <x:c r="F100" s="30" t="str">
        <x:v>メール通知</x:v>
      </x:c>
      <x:c r="G100" s="30" t="str">
        <x:v>一覧表示・検索</x:v>
      </x:c>
    </x:row>
    <x:row r="101" ht="28" customHeight="1">
      <x:c r="A101" s="30" t="str">
        <x:v>SC-US-028</x:v>
      </x:c>
      <x:c r="B101" s="30" t="str">
        <x:v>アカウント設定</x:v>
      </x:c>
      <x:c r="C101" s="30" t="n">
        <x:v>43</x:v>
      </x:c>
      <x:c r="D101" s="30" t="str">
        <x:v>ユーザー</x:v>
      </x:c>
      <x:c r="E101" s="30" t="str">
        <x:v>アカウント</x:v>
      </x:c>
      <x:c r="F101" s="30" t="str">
        <x:v>ログイン・ログアウト</x:v>
      </x:c>
      <x:c r="G101" s="30" t="str">
        <x:v>表示・操作対象</x:v>
      </x:c>
    </x:row>
    <x:row r="102" ht="28" customHeight="1">
      <x:c r="A102" s="30" t="str">
        <x:v>SC-US-028</x:v>
      </x:c>
      <x:c r="B102" s="30" t="str">
        <x:v>アカウント設定</x:v>
      </x:c>
      <x:c r="C102" s="30" t="n">
        <x:v>80</x:v>
      </x:c>
      <x:c r="D102" s="30" t="str">
        <x:v>共通</x:v>
      </x:c>
      <x:c r="E102" s="30" t="str">
        <x:v>通知</x:v>
      </x:c>
      <x:c r="F102" s="30" t="str">
        <x:v>メール通知</x:v>
      </x:c>
      <x:c r="G102" s="30" t="str">
        <x:v>表示・操作対象</x:v>
      </x:c>
    </x:row>
    <x:row r="103" ht="28" customHeight="1">
      <x:c r="A103" s="30" t="str">
        <x:v>SC-US-028</x:v>
      </x:c>
      <x:c r="B103" s="30" t="str">
        <x:v>アカウント設定</x:v>
      </x:c>
      <x:c r="C103" s="30" t="n">
        <x:v>81</x:v>
      </x:c>
      <x:c r="D103" s="30" t="str">
        <x:v>共通</x:v>
      </x:c>
      <x:c r="E103" s="30" t="str">
        <x:v>セキュリティ</x:v>
      </x:c>
      <x:c r="F103" s="30" t="str">
        <x:v>パスワード再設定</x:v>
      </x:c>
      <x:c r="G103" s="30" t="str">
        <x:v>表示・操作対象</x:v>
      </x:c>
    </x:row>
    <x:row r="104" ht="28" customHeight="1">
      <x:c r="A104" s="30" t="str">
        <x:v>SC-US-029</x:v>
      </x:c>
      <x:c r="B104" s="30" t="str">
        <x:v>退会確認</x:v>
      </x:c>
      <x:c r="C104" s="30" t="n">
        <x:v>83</x:v>
      </x:c>
      <x:c r="D104" s="30" t="str">
        <x:v>共通</x:v>
      </x:c>
      <x:c r="E104" s="30" t="str">
        <x:v>セキュリティ</x:v>
      </x:c>
      <x:c r="F104" s="30" t="str">
        <x:v>退会・アカウント停止</x:v>
      </x:c>
      <x:c r="G104" s="30" t="str">
        <x:v>確認・参照</x:v>
      </x:c>
    </x:row>
    <x:row r="105" ht="28" customHeight="1">
      <x:c r="A105" s="30" t="str">
        <x:v>SC-US-030</x:v>
      </x:c>
      <x:c r="B105" s="30" t="str">
        <x:v>打刻ホーム</x:v>
      </x:c>
      <x:c r="C105" s="30" t="n">
        <x:v>34</x:v>
      </x:c>
      <x:c r="D105" s="30" t="str">
        <x:v>企業</x:v>
      </x:c>
      <x:c r="E105" s="30" t="str">
        <x:v>勤怠</x:v>
      </x:c>
      <x:c r="F105" s="30" t="str">
        <x:v>出勤・退勤打刻</x:v>
      </x:c>
      <x:c r="G105" s="30" t="str">
        <x:v>集約表示・導線</x:v>
      </x:c>
    </x:row>
    <x:row r="106" ht="28" customHeight="1">
      <x:c r="A106" s="30" t="str">
        <x:v>SC-US-030</x:v>
      </x:c>
      <x:c r="B106" s="30" t="str">
        <x:v>打刻ホーム</x:v>
      </x:c>
      <x:c r="C106" s="30" t="n">
        <x:v>35</x:v>
      </x:c>
      <x:c r="D106" s="30" t="str">
        <x:v>企業</x:v>
      </x:c>
      <x:c r="E106" s="30" t="str">
        <x:v>勤怠</x:v>
      </x:c>
      <x:c r="F106" s="30" t="str">
        <x:v>休憩打刻</x:v>
      </x:c>
      <x:c r="G106" s="30" t="str">
        <x:v>集約表示・導線</x:v>
      </x:c>
    </x:row>
    <x:row r="107" ht="28" customHeight="1">
      <x:c r="A107" s="30" t="str">
        <x:v>SC-US-031</x:v>
      </x:c>
      <x:c r="B107" s="30" t="str">
        <x:v>自分の勤怠履歴</x:v>
      </x:c>
      <x:c r="C107" s="30" t="n">
        <x:v>34</x:v>
      </x:c>
      <x:c r="D107" s="30" t="str">
        <x:v>企業</x:v>
      </x:c>
      <x:c r="E107" s="30" t="str">
        <x:v>勤怠</x:v>
      </x:c>
      <x:c r="F107" s="30" t="str">
        <x:v>出勤・退勤打刻</x:v>
      </x:c>
      <x:c r="G107" s="30" t="str">
        <x:v>確認・参照</x:v>
      </x:c>
    </x:row>
    <x:row r="108" ht="28" customHeight="1">
      <x:c r="A108" s="30" t="str">
        <x:v>SC-US-031</x:v>
      </x:c>
      <x:c r="B108" s="30" t="str">
        <x:v>自分の勤怠履歴</x:v>
      </x:c>
      <x:c r="C108" s="30" t="n">
        <x:v>35</x:v>
      </x:c>
      <x:c r="D108" s="30" t="str">
        <x:v>企業</x:v>
      </x:c>
      <x:c r="E108" s="30" t="str">
        <x:v>勤怠</x:v>
      </x:c>
      <x:c r="F108" s="30" t="str">
        <x:v>休憩打刻</x:v>
      </x:c>
      <x:c r="G108" s="30" t="str">
        <x:v>確認・参照</x:v>
      </x:c>
    </x:row>
    <x:row r="109" ht="28" customHeight="1">
      <x:c r="A109" s="30" t="str">
        <x:v>SC-US-031</x:v>
      </x:c>
      <x:c r="B109" s="30" t="str">
        <x:v>自分の勤怠履歴</x:v>
      </x:c>
      <x:c r="C109" s="30" t="n">
        <x:v>38</x:v>
      </x:c>
      <x:c r="D109" s="30" t="str">
        <x:v>企業</x:v>
      </x:c>
      <x:c r="E109" s="30" t="str">
        <x:v>勤怠</x:v>
      </x:c>
      <x:c r="F109" s="30" t="str">
        <x:v>勤怠修正申請</x:v>
      </x:c>
      <x:c r="G109" s="30" t="str">
        <x:v>確認・参照</x:v>
      </x:c>
    </x:row>
    <x:row r="110" ht="28" customHeight="1">
      <x:c r="A110" s="30" t="str">
        <x:v>SC-US-031</x:v>
      </x:c>
      <x:c r="B110" s="30" t="str">
        <x:v>自分の勤怠履歴</x:v>
      </x:c>
      <x:c r="C110" s="30" t="n">
        <x:v>39</x:v>
      </x:c>
      <x:c r="D110" s="30" t="str">
        <x:v>企業</x:v>
      </x:c>
      <x:c r="E110" s="30" t="str">
        <x:v>勤怠</x:v>
      </x:c>
      <x:c r="F110" s="30" t="str">
        <x:v>月次勤怠締め</x:v>
      </x:c>
      <x:c r="G110" s="30" t="str">
        <x:v>確認・参照</x:v>
      </x:c>
    </x:row>
    <x:row r="111" ht="28" customHeight="1">
      <x:c r="A111" s="30" t="str">
        <x:v>SC-US-032</x:v>
      </x:c>
      <x:c r="B111" s="30" t="str">
        <x:v>自分のシフト</x:v>
      </x:c>
      <x:c r="C111" s="30" t="n">
        <x:v>36</x:v>
      </x:c>
      <x:c r="D111" s="30" t="str">
        <x:v>企業</x:v>
      </x:c>
      <x:c r="E111" s="30" t="str">
        <x:v>勤怠</x:v>
      </x:c>
      <x:c r="F111" s="30" t="str">
        <x:v>シフト登録</x:v>
      </x:c>
      <x:c r="G111" s="30" t="str">
        <x:v>表示・操作対象</x:v>
      </x:c>
    </x:row>
    <x:row r="112" ht="28" customHeight="1">
      <x:c r="A112" s="30" t="str">
        <x:v>SC-US-033</x:v>
      </x:c>
      <x:c r="B112" s="30" t="str">
        <x:v>休暇申請</x:v>
      </x:c>
      <x:c r="C112" s="30" t="n">
        <x:v>37</x:v>
      </x:c>
      <x:c r="D112" s="30" t="str">
        <x:v>企業</x:v>
      </x:c>
      <x:c r="E112" s="30" t="str">
        <x:v>勤怠</x:v>
      </x:c>
      <x:c r="F112" s="30" t="str">
        <x:v>休暇申請・承認</x:v>
      </x:c>
      <x:c r="G112" s="30" t="str">
        <x:v>入力・登録</x:v>
      </x:c>
    </x:row>
    <x:row r="113" ht="28" customHeight="1">
      <x:c r="A113" s="30" t="str">
        <x:v>SC-US-034</x:v>
      </x:c>
      <x:c r="B113" s="30" t="str">
        <x:v>勤怠修正申請</x:v>
      </x:c>
      <x:c r="C113" s="30" t="n">
        <x:v>38</x:v>
      </x:c>
      <x:c r="D113" s="30" t="str">
        <x:v>企業</x:v>
      </x:c>
      <x:c r="E113" s="30" t="str">
        <x:v>勤怠</x:v>
      </x:c>
      <x:c r="F113" s="30" t="str">
        <x:v>勤怠修正申請</x:v>
      </x:c>
      <x:c r="G113" s="30" t="str">
        <x:v>入力・登録</x:v>
      </x:c>
    </x:row>
    <x:row r="114" ht="28" customHeight="1">
      <x:c r="A114" s="30" t="str">
        <x:v>SC-CO-001</x:v>
      </x:c>
      <x:c r="B114" s="30" t="str">
        <x:v>企業管理ダッシュボード</x:v>
      </x:c>
      <x:c r="C114" s="30" t="n">
        <x:v>10</x:v>
      </x:c>
      <x:c r="D114" s="30" t="str">
        <x:v>企業</x:v>
      </x:c>
      <x:c r="E114" s="30" t="str">
        <x:v>求人掲載</x:v>
      </x:c>
      <x:c r="F114" s="30" t="str">
        <x:v>求人公開</x:v>
      </x:c>
      <x:c r="G114" s="30" t="str">
        <x:v>集約表示・導線</x:v>
      </x:c>
    </x:row>
    <x:row r="115" ht="28" customHeight="1">
      <x:c r="A115" s="30" t="str">
        <x:v>SC-CO-001</x:v>
      </x:c>
      <x:c r="B115" s="30" t="str">
        <x:v>企業管理ダッシュボード</x:v>
      </x:c>
      <x:c r="C115" s="30" t="n">
        <x:v>16</x:v>
      </x:c>
      <x:c r="D115" s="30" t="str">
        <x:v>企業</x:v>
      </x:c>
      <x:c r="E115" s="30" t="str">
        <x:v>応募・採用管理</x:v>
      </x:c>
      <x:c r="F115" s="30" t="str">
        <x:v>応募者一覧</x:v>
      </x:c>
      <x:c r="G115" s="30" t="str">
        <x:v>集約表示・導線</x:v>
      </x:c>
    </x:row>
    <x:row r="116" ht="28" customHeight="1">
      <x:c r="A116" s="30" t="str">
        <x:v>SC-CO-001</x:v>
      </x:c>
      <x:c r="B116" s="30" t="str">
        <x:v>企業管理ダッシュボード</x:v>
      </x:c>
      <x:c r="C116" s="30" t="n">
        <x:v>26</x:v>
      </x:c>
      <x:c r="D116" s="30" t="str">
        <x:v>企業</x:v>
      </x:c>
      <x:c r="E116" s="30" t="str">
        <x:v>評価</x:v>
      </x:c>
      <x:c r="F116" s="30" t="str">
        <x:v>評価協力率表示</x:v>
      </x:c>
      <x:c r="G116" s="30" t="str">
        <x:v>集約表示・導線</x:v>
      </x:c>
    </x:row>
    <x:row r="117" ht="28" customHeight="1">
      <x:c r="A117" s="30" t="str">
        <x:v>SC-CO-001</x:v>
      </x:c>
      <x:c r="B117" s="30" t="str">
        <x:v>企業管理ダッシュボード</x:v>
      </x:c>
      <x:c r="C117" s="30" t="n">
        <x:v>79</x:v>
      </x:c>
      <x:c r="D117" s="30" t="str">
        <x:v>共通</x:v>
      </x:c>
      <x:c r="E117" s="30" t="str">
        <x:v>通知</x:v>
      </x:c>
      <x:c r="F117" s="30" t="str">
        <x:v>サイト内通知</x:v>
      </x:c>
      <x:c r="G117" s="30" t="str">
        <x:v>集約表示・導線</x:v>
      </x:c>
    </x:row>
    <x:row r="118" ht="28" customHeight="1">
      <x:c r="A118" s="30" t="str">
        <x:v>SC-CO-001</x:v>
      </x:c>
      <x:c r="B118" s="30" t="str">
        <x:v>企業管理ダッシュボード</x:v>
      </x:c>
      <x:c r="C118" s="30" t="n">
        <x:v>89</x:v>
      </x:c>
      <x:c r="D118" s="30" t="str">
        <x:v>運営</x:v>
      </x:c>
      <x:c r="E118" s="30" t="str">
        <x:v>料金・契約</x:v>
      </x:c>
      <x:c r="F118" s="30" t="str">
        <x:v>企業プラン管理</x:v>
      </x:c>
      <x:c r="G118" s="30" t="str">
        <x:v>集約表示・導線</x:v>
      </x:c>
    </x:row>
    <x:row r="119" ht="28" customHeight="1">
      <x:c r="A119" s="30" t="str">
        <x:v>SC-CO-001</x:v>
      </x:c>
      <x:c r="B119" s="30" t="str">
        <x:v>企業管理ダッシュボード</x:v>
      </x:c>
      <x:c r="C119" s="30" t="n">
        <x:v>90</x:v>
      </x:c>
      <x:c r="D119" s="30" t="str">
        <x:v>運営</x:v>
      </x:c>
      <x:c r="E119" s="30" t="str">
        <x:v>料金・契約</x:v>
      </x:c>
      <x:c r="F119" s="30" t="str">
        <x:v>評価協力率計算</x:v>
      </x:c>
      <x:c r="G119" s="30" t="str">
        <x:v>集約表示・導線</x:v>
      </x:c>
    </x:row>
    <x:row r="120" ht="28" customHeight="1">
      <x:c r="A120" s="30" t="str">
        <x:v>SC-CO-001</x:v>
      </x:c>
      <x:c r="B120" s="30" t="str">
        <x:v>企業管理ダッシュボード</x:v>
      </x:c>
      <x:c r="C120" s="30" t="n">
        <x:v>91</x:v>
      </x:c>
      <x:c r="D120" s="30" t="str">
        <x:v>運営</x:v>
      </x:c>
      <x:c r="E120" s="30" t="str">
        <x:v>料金・契約</x:v>
      </x:c>
      <x:c r="F120" s="30" t="str">
        <x:v>月額料金算定</x:v>
      </x:c>
      <x:c r="G120" s="30" t="str">
        <x:v>集約表示・導線</x:v>
      </x:c>
    </x:row>
    <x:row r="121" ht="28" customHeight="1">
      <x:c r="A121" s="30" t="str">
        <x:v>SC-CO-002</x:v>
      </x:c>
      <x:c r="B121" s="30" t="str">
        <x:v>企業プロフィール編集</x:v>
      </x:c>
      <x:c r="C121" s="30" t="n">
        <x:v>2</x:v>
      </x:c>
      <x:c r="D121" s="30" t="str">
        <x:v>企業</x:v>
      </x:c>
      <x:c r="E121" s="30" t="str">
        <x:v>アカウント・企業情報</x:v>
      </x:c>
      <x:c r="F121" s="30" t="str">
        <x:v>企業情報登録</x:v>
      </x:c>
      <x:c r="G121" s="30" t="str">
        <x:v>入力・登録</x:v>
      </x:c>
    </x:row>
    <x:row r="122" ht="28" customHeight="1">
      <x:c r="A122" s="30" t="str">
        <x:v>SC-CO-002</x:v>
      </x:c>
      <x:c r="B122" s="30" t="str">
        <x:v>企業プロフィール編集</x:v>
      </x:c>
      <x:c r="C122" s="30" t="n">
        <x:v>4</x:v>
      </x:c>
      <x:c r="D122" s="30" t="str">
        <x:v>企業</x:v>
      </x:c>
      <x:c r="E122" s="30" t="str">
        <x:v>アカウント・企業情報</x:v>
      </x:c>
      <x:c r="F122" s="30" t="str">
        <x:v>企業プロフィール公開</x:v>
      </x:c>
      <x:c r="G122" s="30" t="str">
        <x:v>入力・登録</x:v>
      </x:c>
    </x:row>
    <x:row r="123" ht="28" customHeight="1">
      <x:c r="A123" s="30" t="str">
        <x:v>SC-CO-003</x:v>
      </x:c>
      <x:c r="B123" s="30" t="str">
        <x:v>企業審査申請</x:v>
      </x:c>
      <x:c r="C123" s="30" t="n">
        <x:v>3</x:v>
      </x:c>
      <x:c r="D123" s="30" t="str">
        <x:v>企業</x:v>
      </x:c>
      <x:c r="E123" s="30" t="str">
        <x:v>アカウント・企業情報</x:v>
      </x:c>
      <x:c r="F123" s="30" t="str">
        <x:v>企業審査申請</x:v>
      </x:c>
      <x:c r="G123" s="30" t="str">
        <x:v>入力・登録</x:v>
      </x:c>
    </x:row>
    <x:row r="124" ht="28" customHeight="1">
      <x:c r="A124" s="30" t="str">
        <x:v>SC-CO-004</x:v>
      </x:c>
      <x:c r="B124" s="30" t="str">
        <x:v>企業審査状況</x:v>
      </x:c>
      <x:c r="C124" s="30" t="n">
        <x:v>3</x:v>
      </x:c>
      <x:c r="D124" s="30" t="str">
        <x:v>企業</x:v>
      </x:c>
      <x:c r="E124" s="30" t="str">
        <x:v>アカウント・企業情報</x:v>
      </x:c>
      <x:c r="F124" s="30" t="str">
        <x:v>企業審査申請</x:v>
      </x:c>
      <x:c r="G124" s="30" t="str">
        <x:v>確認・参照</x:v>
      </x:c>
    </x:row>
    <x:row r="125" ht="28" customHeight="1">
      <x:c r="A125" s="30" t="str">
        <x:v>SC-CO-004</x:v>
      </x:c>
      <x:c r="B125" s="30" t="str">
        <x:v>企業審査状況</x:v>
      </x:c>
      <x:c r="C125" s="30" t="n">
        <x:v>84</x:v>
      </x:c>
      <x:c r="D125" s="30" t="str">
        <x:v>運営</x:v>
      </x:c>
      <x:c r="E125" s="30" t="str">
        <x:v>管理</x:v>
      </x:c>
      <x:c r="F125" s="30" t="str">
        <x:v>企業審査</x:v>
      </x:c>
      <x:c r="G125" s="30" t="str">
        <x:v>確認・参照</x:v>
      </x:c>
    </x:row>
    <x:row r="126" ht="28" customHeight="1">
      <x:c r="A126" s="30" t="str">
        <x:v>SC-CO-005</x:v>
      </x:c>
      <x:c r="B126" s="30" t="str">
        <x:v>企業担当者一覧</x:v>
      </x:c>
      <x:c r="C126" s="30" t="n">
        <x:v>5</x:v>
      </x:c>
      <x:c r="D126" s="30" t="str">
        <x:v>企業</x:v>
      </x:c>
      <x:c r="E126" s="30" t="str">
        <x:v>アカウント・企業情報</x:v>
      </x:c>
      <x:c r="F126" s="30" t="str">
        <x:v>企業担当者招待</x:v>
      </x:c>
      <x:c r="G126" s="30" t="str">
        <x:v>一覧表示・検索</x:v>
      </x:c>
    </x:row>
    <x:row r="127" ht="28" customHeight="1">
      <x:c r="A127" s="30" t="str">
        <x:v>SC-CO-005</x:v>
      </x:c>
      <x:c r="B127" s="30" t="str">
        <x:v>企業担当者一覧</x:v>
      </x:c>
      <x:c r="C127" s="30" t="n">
        <x:v>6</x:v>
      </x:c>
      <x:c r="D127" s="30" t="str">
        <x:v>企業</x:v>
      </x:c>
      <x:c r="E127" s="30" t="str">
        <x:v>権限管理</x:v>
      </x:c>
      <x:c r="F127" s="30" t="str">
        <x:v>企業ロール管理</x:v>
      </x:c>
      <x:c r="G127" s="30" t="str">
        <x:v>一覧表示・検索</x:v>
      </x:c>
    </x:row>
    <x:row r="128" ht="28" customHeight="1">
      <x:c r="A128" s="30" t="str">
        <x:v>SC-CO-006</x:v>
      </x:c>
      <x:c r="B128" s="30" t="str">
        <x:v>企業担当者招待</x:v>
      </x:c>
      <x:c r="C128" s="30" t="n">
        <x:v>5</x:v>
      </x:c>
      <x:c r="D128" s="30" t="str">
        <x:v>企業</x:v>
      </x:c>
      <x:c r="E128" s="30" t="str">
        <x:v>アカウント・企業情報</x:v>
      </x:c>
      <x:c r="F128" s="30" t="str">
        <x:v>企業担当者招待</x:v>
      </x:c>
      <x:c r="G128" s="30" t="str">
        <x:v>表示・操作対象</x:v>
      </x:c>
    </x:row>
    <x:row r="129" ht="28" customHeight="1">
      <x:c r="A129" s="30" t="str">
        <x:v>SC-CO-007</x:v>
      </x:c>
      <x:c r="B129" s="30" t="str">
        <x:v>ロール・権限設定</x:v>
      </x:c>
      <x:c r="C129" s="30" t="n">
        <x:v>6</x:v>
      </x:c>
      <x:c r="D129" s="30" t="str">
        <x:v>企業</x:v>
      </x:c>
      <x:c r="E129" s="30" t="str">
        <x:v>権限管理</x:v>
      </x:c>
      <x:c r="F129" s="30" t="str">
        <x:v>企業ロール管理</x:v>
      </x:c>
      <x:c r="G129" s="30" t="str">
        <x:v>表示・操作対象</x:v>
      </x:c>
    </x:row>
    <x:row r="130" ht="28" customHeight="1">
      <x:c r="A130" s="30" t="str">
        <x:v>SC-CO-008</x:v>
      </x:c>
      <x:c r="B130" s="30" t="str">
        <x:v>求人一覧</x:v>
      </x:c>
      <x:c r="C130" s="30" t="n">
        <x:v>7</x:v>
      </x:c>
      <x:c r="D130" s="30" t="str">
        <x:v>企業</x:v>
      </x:c>
      <x:c r="E130" s="30" t="str">
        <x:v>求人掲載</x:v>
      </x:c>
      <x:c r="F130" s="30" t="str">
        <x:v>求人新規作成</x:v>
      </x:c>
      <x:c r="G130" s="30" t="str">
        <x:v>一覧表示・検索</x:v>
      </x:c>
    </x:row>
    <x:row r="131" ht="28" customHeight="1">
      <x:c r="A131" s="30" t="str">
        <x:v>SC-CO-008</x:v>
      </x:c>
      <x:c r="B131" s="30" t="str">
        <x:v>求人一覧</x:v>
      </x:c>
      <x:c r="C131" s="30" t="n">
        <x:v>8</x:v>
      </x:c>
      <x:c r="D131" s="30" t="str">
        <x:v>企業</x:v>
      </x:c>
      <x:c r="E131" s="30" t="str">
        <x:v>求人掲載</x:v>
      </x:c>
      <x:c r="F131" s="30" t="str">
        <x:v>求人下書き保存</x:v>
      </x:c>
      <x:c r="G131" s="30" t="str">
        <x:v>一覧表示・検索</x:v>
      </x:c>
    </x:row>
    <x:row r="132" ht="28" customHeight="1">
      <x:c r="A132" s="30" t="str">
        <x:v>SC-CO-008</x:v>
      </x:c>
      <x:c r="B132" s="30" t="str">
        <x:v>求人一覧</x:v>
      </x:c>
      <x:c r="C132" s="30" t="n">
        <x:v>10</x:v>
      </x:c>
      <x:c r="D132" s="30" t="str">
        <x:v>企業</x:v>
      </x:c>
      <x:c r="E132" s="30" t="str">
        <x:v>求人掲載</x:v>
      </x:c>
      <x:c r="F132" s="30" t="str">
        <x:v>求人公開</x:v>
      </x:c>
      <x:c r="G132" s="30" t="str">
        <x:v>一覧表示・検索</x:v>
      </x:c>
    </x:row>
    <x:row r="133" ht="28" customHeight="1">
      <x:c r="A133" s="30" t="str">
        <x:v>SC-CO-008</x:v>
      </x:c>
      <x:c r="B133" s="30" t="str">
        <x:v>求人一覧</x:v>
      </x:c>
      <x:c r="C133" s="30" t="n">
        <x:v>12</x:v>
      </x:c>
      <x:c r="D133" s="30" t="str">
        <x:v>企業</x:v>
      </x:c>
      <x:c r="E133" s="30" t="str">
        <x:v>求人掲載</x:v>
      </x:c>
      <x:c r="F133" s="30" t="str">
        <x:v>求人募集停止・再開</x:v>
      </x:c>
      <x:c r="G133" s="30" t="str">
        <x:v>一覧表示・検索</x:v>
      </x:c>
    </x:row>
    <x:row r="134" ht="28" customHeight="1">
      <x:c r="A134" s="30" t="str">
        <x:v>SC-CO-008</x:v>
      </x:c>
      <x:c r="B134" s="30" t="str">
        <x:v>求人一覧</x:v>
      </x:c>
      <x:c r="C134" s="30" t="n">
        <x:v>13</x:v>
      </x:c>
      <x:c r="D134" s="30" t="str">
        <x:v>企業</x:v>
      </x:c>
      <x:c r="E134" s="30" t="str">
        <x:v>求人掲載</x:v>
      </x:c>
      <x:c r="F134" s="30" t="str">
        <x:v>求人複製</x:v>
      </x:c>
      <x:c r="G134" s="30" t="str">
        <x:v>一覧表示・検索</x:v>
      </x:c>
    </x:row>
    <x:row r="135" ht="28" customHeight="1">
      <x:c r="A135" s="30" t="str">
        <x:v>SC-CO-008</x:v>
      </x:c>
      <x:c r="B135" s="30" t="str">
        <x:v>求人一覧</x:v>
      </x:c>
      <x:c r="C135" s="30" t="n">
        <x:v>14</x:v>
      </x:c>
      <x:c r="D135" s="30" t="str">
        <x:v>企業</x:v>
      </x:c>
      <x:c r="E135" s="30" t="str">
        <x:v>求人掲載</x:v>
      </x:c>
      <x:c r="F135" s="30" t="str">
        <x:v>掲載期限管理</x:v>
      </x:c>
      <x:c r="G135" s="30" t="str">
        <x:v>一覧表示・検索</x:v>
      </x:c>
    </x:row>
    <x:row r="136" ht="28" customHeight="1">
      <x:c r="A136" s="30" t="str">
        <x:v>SC-CO-009</x:v>
      </x:c>
      <x:c r="B136" s="30" t="str">
        <x:v>求人新規作成・編集</x:v>
      </x:c>
      <x:c r="C136" s="30" t="n">
        <x:v>7</x:v>
      </x:c>
      <x:c r="D136" s="30" t="str">
        <x:v>企業</x:v>
      </x:c>
      <x:c r="E136" s="30" t="str">
        <x:v>求人掲載</x:v>
      </x:c>
      <x:c r="F136" s="30" t="str">
        <x:v>求人新規作成</x:v>
      </x:c>
      <x:c r="G136" s="30" t="str">
        <x:v>入力・登録</x:v>
      </x:c>
    </x:row>
    <x:row r="137" ht="28" customHeight="1">
      <x:c r="A137" s="30" t="str">
        <x:v>SC-CO-009</x:v>
      </x:c>
      <x:c r="B137" s="30" t="str">
        <x:v>求人新規作成・編集</x:v>
      </x:c>
      <x:c r="C137" s="30" t="n">
        <x:v>8</x:v>
      </x:c>
      <x:c r="D137" s="30" t="str">
        <x:v>企業</x:v>
      </x:c>
      <x:c r="E137" s="30" t="str">
        <x:v>求人掲載</x:v>
      </x:c>
      <x:c r="F137" s="30" t="str">
        <x:v>求人下書き保存</x:v>
      </x:c>
      <x:c r="G137" s="30" t="str">
        <x:v>入力・登録</x:v>
      </x:c>
    </x:row>
    <x:row r="138" ht="28" customHeight="1">
      <x:c r="A138" s="30" t="str">
        <x:v>SC-CO-009</x:v>
      </x:c>
      <x:c r="B138" s="30" t="str">
        <x:v>求人新規作成・編集</x:v>
      </x:c>
      <x:c r="C138" s="30" t="n">
        <x:v>14</x:v>
      </x:c>
      <x:c r="D138" s="30" t="str">
        <x:v>企業</x:v>
      </x:c>
      <x:c r="E138" s="30" t="str">
        <x:v>求人掲載</x:v>
      </x:c>
      <x:c r="F138" s="30" t="str">
        <x:v>掲載期限管理</x:v>
      </x:c>
      <x:c r="G138" s="30" t="str">
        <x:v>入力・登録</x:v>
      </x:c>
    </x:row>
    <x:row r="139" ht="28" customHeight="1">
      <x:c r="A139" s="30" t="str">
        <x:v>SC-CO-010</x:v>
      </x:c>
      <x:c r="B139" s="30" t="str">
        <x:v>求人プレビュー</x:v>
      </x:c>
      <x:c r="C139" s="30" t="n">
        <x:v>9</x:v>
      </x:c>
      <x:c r="D139" s="30" t="str">
        <x:v>企業</x:v>
      </x:c>
      <x:c r="E139" s="30" t="str">
        <x:v>求人掲載</x:v>
      </x:c>
      <x:c r="F139" s="30" t="str">
        <x:v>求人プレビュー</x:v>
      </x:c>
      <x:c r="G139" s="30" t="str">
        <x:v>表示・操作対象</x:v>
      </x:c>
    </x:row>
    <x:row r="140" ht="28" customHeight="1">
      <x:c r="A140" s="30" t="str">
        <x:v>SC-CO-011</x:v>
      </x:c>
      <x:c r="B140" s="30" t="str">
        <x:v>求人公開確認・枠判定</x:v>
      </x:c>
      <x:c r="C140" s="30" t="n">
        <x:v>10</x:v>
      </x:c>
      <x:c r="D140" s="30" t="str">
        <x:v>企業</x:v>
      </x:c>
      <x:c r="E140" s="30" t="str">
        <x:v>求人掲載</x:v>
      </x:c>
      <x:c r="F140" s="30" t="str">
        <x:v>求人公開</x:v>
      </x:c>
      <x:c r="G140" s="30" t="str">
        <x:v>確認・参照</x:v>
      </x:c>
    </x:row>
    <x:row r="141" ht="28" customHeight="1">
      <x:c r="A141" s="30" t="str">
        <x:v>SC-CO-011</x:v>
      </x:c>
      <x:c r="B141" s="30" t="str">
        <x:v>求人公開確認・枠判定</x:v>
      </x:c>
      <x:c r="C141" s="30" t="n">
        <x:v>89</x:v>
      </x:c>
      <x:c r="D141" s="30" t="str">
        <x:v>運営</x:v>
      </x:c>
      <x:c r="E141" s="30" t="str">
        <x:v>料金・契約</x:v>
      </x:c>
      <x:c r="F141" s="30" t="str">
        <x:v>企業プラン管理</x:v>
      </x:c>
      <x:c r="G141" s="30" t="str">
        <x:v>確認・参照</x:v>
      </x:c>
    </x:row>
    <x:row r="142" ht="28" customHeight="1">
      <x:c r="A142" s="30" t="str">
        <x:v>SC-CO-011</x:v>
      </x:c>
      <x:c r="B142" s="30" t="str">
        <x:v>求人公開確認・枠判定</x:v>
      </x:c>
      <x:c r="C142" s="30" t="n">
        <x:v>90</x:v>
      </x:c>
      <x:c r="D142" s="30" t="str">
        <x:v>運営</x:v>
      </x:c>
      <x:c r="E142" s="30" t="str">
        <x:v>料金・契約</x:v>
      </x:c>
      <x:c r="F142" s="30" t="str">
        <x:v>評価協力率計算</x:v>
      </x:c>
      <x:c r="G142" s="30" t="str">
        <x:v>確認・参照</x:v>
      </x:c>
    </x:row>
    <x:row r="143" ht="28" customHeight="1">
      <x:c r="A143" s="30" t="str">
        <x:v>SC-CO-011</x:v>
      </x:c>
      <x:c r="B143" s="30" t="str">
        <x:v>求人公開確認・枠判定</x:v>
      </x:c>
      <x:c r="C143" s="30" t="n">
        <x:v>91</x:v>
      </x:c>
      <x:c r="D143" s="30" t="str">
        <x:v>運営</x:v>
      </x:c>
      <x:c r="E143" s="30" t="str">
        <x:v>料金・契約</x:v>
      </x:c>
      <x:c r="F143" s="30" t="str">
        <x:v>月額料金算定</x:v>
      </x:c>
      <x:c r="G143" s="30" t="str">
        <x:v>確認・参照</x:v>
      </x:c>
    </x:row>
    <x:row r="144" ht="28" customHeight="1">
      <x:c r="A144" s="30" t="str">
        <x:v>SC-CO-012</x:v>
      </x:c>
      <x:c r="B144" s="30" t="str">
        <x:v>求人公開予約</x:v>
      </x:c>
      <x:c r="C144" s="30" t="n">
        <x:v>11</x:v>
      </x:c>
      <x:c r="D144" s="30" t="str">
        <x:v>企業</x:v>
      </x:c>
      <x:c r="E144" s="30" t="str">
        <x:v>求人掲載</x:v>
      </x:c>
      <x:c r="F144" s="30" t="str">
        <x:v>求人公開予約</x:v>
      </x:c>
      <x:c r="G144" s="30" t="str">
        <x:v>表示・操作対象</x:v>
      </x:c>
    </x:row>
    <x:row r="145" ht="28" customHeight="1">
      <x:c r="A145" s="30" t="str">
        <x:v>SC-CO-013</x:v>
      </x:c>
      <x:c r="B145" s="30" t="str">
        <x:v>求人分析</x:v>
      </x:c>
      <x:c r="C145" s="30" t="n">
        <x:v>15</x:v>
      </x:c>
      <x:c r="D145" s="30" t="str">
        <x:v>企業</x:v>
      </x:c>
      <x:c r="E145" s="30" t="str">
        <x:v>求人掲載</x:v>
      </x:c>
      <x:c r="F145" s="30" t="str">
        <x:v>求人閲覧・応募分析</x:v>
      </x:c>
      <x:c r="G145" s="30" t="str">
        <x:v>確認・参照</x:v>
      </x:c>
    </x:row>
    <x:row r="146" ht="28" customHeight="1">
      <x:c r="A146" s="30" t="str">
        <x:v>SC-CO-014</x:v>
      </x:c>
      <x:c r="B146" s="30" t="str">
        <x:v>応募者一覧</x:v>
      </x:c>
      <x:c r="C146" s="30" t="n">
        <x:v>16</x:v>
      </x:c>
      <x:c r="D146" s="30" t="str">
        <x:v>企業</x:v>
      </x:c>
      <x:c r="E146" s="30" t="str">
        <x:v>応募・採用管理</x:v>
      </x:c>
      <x:c r="F146" s="30" t="str">
        <x:v>応募者一覧</x:v>
      </x:c>
      <x:c r="G146" s="30" t="str">
        <x:v>一覧表示・検索</x:v>
      </x:c>
    </x:row>
    <x:row r="147" ht="28" customHeight="1">
      <x:c r="A147" s="30" t="str">
        <x:v>SC-CO-014</x:v>
      </x:c>
      <x:c r="B147" s="30" t="str">
        <x:v>応募者一覧</x:v>
      </x:c>
      <x:c r="C147" s="30" t="n">
        <x:v>18</x:v>
      </x:c>
      <x:c r="D147" s="30" t="str">
        <x:v>企業</x:v>
      </x:c>
      <x:c r="E147" s="30" t="str">
        <x:v>応募・採用管理</x:v>
      </x:c>
      <x:c r="F147" s="30" t="str">
        <x:v>選考ステータス管理</x:v>
      </x:c>
      <x:c r="G147" s="30" t="str">
        <x:v>一覧表示・検索</x:v>
      </x:c>
    </x:row>
    <x:row r="148" ht="28" customHeight="1">
      <x:c r="A148" s="30" t="str">
        <x:v>SC-CO-015</x:v>
      </x:c>
      <x:c r="B148" s="30" t="str">
        <x:v>応募者詳細</x:v>
      </x:c>
      <x:c r="C148" s="30" t="n">
        <x:v>17</x:v>
      </x:c>
      <x:c r="D148" s="30" t="str">
        <x:v>企業</x:v>
      </x:c>
      <x:c r="E148" s="30" t="str">
        <x:v>応募・採用管理</x:v>
      </x:c>
      <x:c r="F148" s="30" t="str">
        <x:v>応募者詳細</x:v>
      </x:c>
      <x:c r="G148" s="30" t="str">
        <x:v>確認・参照</x:v>
      </x:c>
    </x:row>
    <x:row r="149" ht="28" customHeight="1">
      <x:c r="A149" s="30" t="str">
        <x:v>SC-CO-015</x:v>
      </x:c>
      <x:c r="B149" s="30" t="str">
        <x:v>応募者詳細</x:v>
      </x:c>
      <x:c r="C149" s="30" t="n">
        <x:v>18</x:v>
      </x:c>
      <x:c r="D149" s="30" t="str">
        <x:v>企業</x:v>
      </x:c>
      <x:c r="E149" s="30" t="str">
        <x:v>応募・採用管理</x:v>
      </x:c>
      <x:c r="F149" s="30" t="str">
        <x:v>選考ステータス管理</x:v>
      </x:c>
      <x:c r="G149" s="30" t="str">
        <x:v>確認・参照</x:v>
      </x:c>
    </x:row>
    <x:row r="150" ht="28" customHeight="1">
      <x:c r="A150" s="30" t="str">
        <x:v>SC-CO-015</x:v>
      </x:c>
      <x:c r="B150" s="30" t="str">
        <x:v>応募者詳細</x:v>
      </x:c>
      <x:c r="C150" s="30" t="n">
        <x:v>22</x:v>
      </x:c>
      <x:c r="D150" s="30" t="str">
        <x:v>企業</x:v>
      </x:c>
      <x:c r="E150" s="30" t="str">
        <x:v>応募・採用管理</x:v>
      </x:c>
      <x:c r="F150" s="30" t="str">
        <x:v>応募者メモ</x:v>
      </x:c>
      <x:c r="G150" s="30" t="str">
        <x:v>確認・参照</x:v>
      </x:c>
    </x:row>
    <x:row r="151" ht="28" customHeight="1">
      <x:c r="A151" s="30" t="str">
        <x:v>SC-CO-015</x:v>
      </x:c>
      <x:c r="B151" s="30" t="str">
        <x:v>応募者詳細</x:v>
      </x:c>
      <x:c r="C151" s="30" t="n">
        <x:v>68</x:v>
      </x:c>
      <x:c r="D151" s="30" t="str">
        <x:v>共通</x:v>
      </x:c>
      <x:c r="E151" s="30" t="str">
        <x:v>チャット</x:v>
      </x:c>
      <x:c r="F151" s="30" t="str">
        <x:v>応募チャット作成</x:v>
      </x:c>
      <x:c r="G151" s="30" t="str">
        <x:v>確認・参照</x:v>
      </x:c>
    </x:row>
    <x:row r="152" ht="28" customHeight="1">
      <x:c r="A152" s="30" t="str">
        <x:v>SC-CO-016</x:v>
      </x:c>
      <x:c r="B152" s="30" t="str">
        <x:v>選考ステータス変更</x:v>
      </x:c>
      <x:c r="C152" s="30" t="n">
        <x:v>18</x:v>
      </x:c>
      <x:c r="D152" s="30" t="str">
        <x:v>企業</x:v>
      </x:c>
      <x:c r="E152" s="30" t="str">
        <x:v>応募・採用管理</x:v>
      </x:c>
      <x:c r="F152" s="30" t="str">
        <x:v>選考ステータス管理</x:v>
      </x:c>
      <x:c r="G152" s="30" t="str">
        <x:v>表示・操作対象</x:v>
      </x:c>
    </x:row>
    <x:row r="153" ht="28" customHeight="1">
      <x:c r="A153" s="30" t="str">
        <x:v>SC-CO-016</x:v>
      </x:c>
      <x:c r="B153" s="30" t="str">
        <x:v>選考ステータス変更</x:v>
      </x:c>
      <x:c r="C153" s="30" t="n">
        <x:v>20</x:v>
      </x:c>
      <x:c r="D153" s="30" t="str">
        <x:v>企業</x:v>
      </x:c>
      <x:c r="E153" s="30" t="str">
        <x:v>応募・採用管理</x:v>
      </x:c>
      <x:c r="F153" s="30" t="str">
        <x:v>採用決定</x:v>
      </x:c>
      <x:c r="G153" s="30" t="str">
        <x:v>表示・操作対象</x:v>
      </x:c>
    </x:row>
    <x:row r="154" ht="28" customHeight="1">
      <x:c r="A154" s="30" t="str">
        <x:v>SC-CO-017</x:v>
      </x:c>
      <x:c r="B154" s="30" t="str">
        <x:v>面接日程調整</x:v>
      </x:c>
      <x:c r="C154" s="30" t="n">
        <x:v>19</x:v>
      </x:c>
      <x:c r="D154" s="30" t="str">
        <x:v>企業</x:v>
      </x:c>
      <x:c r="E154" s="30" t="str">
        <x:v>応募・採用管理</x:v>
      </x:c>
      <x:c r="F154" s="30" t="str">
        <x:v>面接日程管理</x:v>
      </x:c>
      <x:c r="G154" s="30" t="str">
        <x:v>表示・操作対象</x:v>
      </x:c>
    </x:row>
    <x:row r="155" ht="28" customHeight="1">
      <x:c r="A155" s="30" t="str">
        <x:v>SC-CO-018</x:v>
      </x:c>
      <x:c r="B155" s="30" t="str">
        <x:v>内定通知作成</x:v>
      </x:c>
      <x:c r="C155" s="30" t="n">
        <x:v>20</x:v>
      </x:c>
      <x:c r="D155" s="30" t="str">
        <x:v>企業</x:v>
      </x:c>
      <x:c r="E155" s="30" t="str">
        <x:v>応募・採用管理</x:v>
      </x:c>
      <x:c r="F155" s="30" t="str">
        <x:v>採用決定</x:v>
      </x:c>
      <x:c r="G155" s="30" t="str">
        <x:v>入力・登録</x:v>
      </x:c>
    </x:row>
    <x:row r="156" ht="28" customHeight="1">
      <x:c r="A156" s="30" t="str">
        <x:v>SC-CO-018</x:v>
      </x:c>
      <x:c r="B156" s="30" t="str">
        <x:v>内定通知作成</x:v>
      </x:c>
      <x:c r="C156" s="30" t="n">
        <x:v>21</x:v>
      </x:c>
      <x:c r="D156" s="30" t="str">
        <x:v>企業</x:v>
      </x:c>
      <x:c r="E156" s="30" t="str">
        <x:v>応募・採用管理</x:v>
      </x:c>
      <x:c r="F156" s="30" t="str">
        <x:v>内定通知</x:v>
      </x:c>
      <x:c r="G156" s="30" t="str">
        <x:v>入力・登録</x:v>
      </x:c>
    </x:row>
    <x:row r="157" ht="28" customHeight="1">
      <x:c r="A157" s="30" t="str">
        <x:v>SC-CO-019</x:v>
      </x:c>
      <x:c r="B157" s="30" t="str">
        <x:v>応募者メモ編集</x:v>
      </x:c>
      <x:c r="C157" s="30" t="n">
        <x:v>22</x:v>
      </x:c>
      <x:c r="D157" s="30" t="str">
        <x:v>企業</x:v>
      </x:c>
      <x:c r="E157" s="30" t="str">
        <x:v>応募・採用管理</x:v>
      </x:c>
      <x:c r="F157" s="30" t="str">
        <x:v>応募者メモ</x:v>
      </x:c>
      <x:c r="G157" s="30" t="str">
        <x:v>入力・登録</x:v>
      </x:c>
    </x:row>
    <x:row r="158" ht="28" customHeight="1">
      <x:c r="A158" s="30" t="str">
        <x:v>SC-CO-020</x:v>
      </x:c>
      <x:c r="B158" s="30" t="str">
        <x:v>企業チャット一覧</x:v>
      </x:c>
      <x:c r="C158" s="30" t="n">
        <x:v>68</x:v>
      </x:c>
      <x:c r="D158" s="30" t="str">
        <x:v>共通</x:v>
      </x:c>
      <x:c r="E158" s="30" t="str">
        <x:v>チャット</x:v>
      </x:c>
      <x:c r="F158" s="30" t="str">
        <x:v>応募チャット作成</x:v>
      </x:c>
      <x:c r="G158" s="30" t="str">
        <x:v>一覧表示・検索</x:v>
      </x:c>
    </x:row>
    <x:row r="159" ht="28" customHeight="1">
      <x:c r="A159" s="30" t="str">
        <x:v>SC-CO-020</x:v>
      </x:c>
      <x:c r="B159" s="30" t="str">
        <x:v>企業チャット一覧</x:v>
      </x:c>
      <x:c r="C159" s="30" t="n">
        <x:v>69</x:v>
      </x:c>
      <x:c r="D159" s="30" t="str">
        <x:v>共通</x:v>
      </x:c>
      <x:c r="E159" s="30" t="str">
        <x:v>チャット</x:v>
      </x:c>
      <x:c r="F159" s="30" t="str">
        <x:v>企業問い合わせチャット</x:v>
      </x:c>
      <x:c r="G159" s="30" t="str">
        <x:v>一覧表示・検索</x:v>
      </x:c>
    </x:row>
    <x:row r="160" ht="28" customHeight="1">
      <x:c r="A160" s="30" t="str">
        <x:v>SC-CO-020</x:v>
      </x:c>
      <x:c r="B160" s="30" t="str">
        <x:v>企業チャット一覧</x:v>
      </x:c>
      <x:c r="C160" s="30" t="n">
        <x:v>71</x:v>
      </x:c>
      <x:c r="D160" s="30" t="str">
        <x:v>共通</x:v>
      </x:c>
      <x:c r="E160" s="30" t="str">
        <x:v>チャット</x:v>
      </x:c>
      <x:c r="F160" s="30" t="str">
        <x:v>既読・未読管理</x:v>
      </x:c>
      <x:c r="G160" s="30" t="str">
        <x:v>一覧表示・検索</x:v>
      </x:c>
    </x:row>
    <x:row r="161" ht="28" customHeight="1">
      <x:c r="A161" s="30" t="str">
        <x:v>SC-CO-021</x:v>
      </x:c>
      <x:c r="B161" s="30" t="str">
        <x:v>企業チャットルーム</x:v>
      </x:c>
      <x:c r="C161" s="30" t="n">
        <x:v>70</x:v>
      </x:c>
      <x:c r="D161" s="30" t="str">
        <x:v>共通</x:v>
      </x:c>
      <x:c r="E161" s="30" t="str">
        <x:v>チャット</x:v>
      </x:c>
      <x:c r="F161" s="30" t="str">
        <x:v>メッセージ送受信</x:v>
      </x:c>
      <x:c r="G161" s="30" t="str">
        <x:v>表示・操作対象</x:v>
      </x:c>
    </x:row>
    <x:row r="162" ht="28" customHeight="1">
      <x:c r="A162" s="30" t="str">
        <x:v>SC-CO-021</x:v>
      </x:c>
      <x:c r="B162" s="30" t="str">
        <x:v>企業チャットルーム</x:v>
      </x:c>
      <x:c r="C162" s="30" t="n">
        <x:v>71</x:v>
      </x:c>
      <x:c r="D162" s="30" t="str">
        <x:v>共通</x:v>
      </x:c>
      <x:c r="E162" s="30" t="str">
        <x:v>チャット</x:v>
      </x:c>
      <x:c r="F162" s="30" t="str">
        <x:v>既読・未読管理</x:v>
      </x:c>
      <x:c r="G162" s="30" t="str">
        <x:v>表示・操作対象</x:v>
      </x:c>
    </x:row>
    <x:row r="163" ht="28" customHeight="1">
      <x:c r="A163" s="30" t="str">
        <x:v>SC-CO-021</x:v>
      </x:c>
      <x:c r="B163" s="30" t="str">
        <x:v>企業チャットルーム</x:v>
      </x:c>
      <x:c r="C163" s="30" t="n">
        <x:v>72</x:v>
      </x:c>
      <x:c r="D163" s="30" t="str">
        <x:v>共通</x:v>
      </x:c>
      <x:c r="E163" s="30" t="str">
        <x:v>チャット</x:v>
      </x:c>
      <x:c r="F163" s="30" t="str">
        <x:v>添付ファイル送信</x:v>
      </x:c>
      <x:c r="G163" s="30" t="str">
        <x:v>表示・操作対象</x:v>
      </x:c>
    </x:row>
    <x:row r="164" ht="28" customHeight="1">
      <x:c r="A164" s="30" t="str">
        <x:v>SC-CO-021</x:v>
      </x:c>
      <x:c r="B164" s="30" t="str">
        <x:v>企業チャットルーム</x:v>
      </x:c>
      <x:c r="C164" s="30" t="n">
        <x:v>73</x:v>
      </x:c>
      <x:c r="D164" s="30" t="str">
        <x:v>共通</x:v>
      </x:c>
      <x:c r="E164" s="30" t="str">
        <x:v>チャット</x:v>
      </x:c>
      <x:c r="F164" s="30" t="str">
        <x:v>チャットルーム終了</x:v>
      </x:c>
      <x:c r="G164" s="30" t="str">
        <x:v>表示・操作対象</x:v>
      </x:c>
    </x:row>
    <x:row r="165" ht="28" customHeight="1">
      <x:c r="A165" s="30" t="str">
        <x:v>SC-CO-021</x:v>
      </x:c>
      <x:c r="B165" s="30" t="str">
        <x:v>企業チャットルーム</x:v>
      </x:c>
      <x:c r="C165" s="30" t="n">
        <x:v>74</x:v>
      </x:c>
      <x:c r="D165" s="30" t="str">
        <x:v>共通</x:v>
      </x:c>
      <x:c r="E165" s="30" t="str">
        <x:v>チャット</x:v>
      </x:c>
      <x:c r="F165" s="30" t="str">
        <x:v>メッセージ保存期限</x:v>
      </x:c>
      <x:c r="G165" s="30" t="str">
        <x:v>表示・操作対象</x:v>
      </x:c>
    </x:row>
    <x:row r="166" ht="28" customHeight="1">
      <x:c r="A166" s="30" t="str">
        <x:v>SC-CO-022</x:v>
      </x:c>
      <x:c r="B166" s="30" t="str">
        <x:v>ユーザー評価対象一覧</x:v>
      </x:c>
      <x:c r="C166" s="30" t="n">
        <x:v>23</x:v>
      </x:c>
      <x:c r="D166" s="30" t="str">
        <x:v>企業</x:v>
      </x:c>
      <x:c r="E166" s="30" t="str">
        <x:v>評価</x:v>
      </x:c>
      <x:c r="F166" s="30" t="str">
        <x:v>ユーザー評価登録</x:v>
      </x:c>
      <x:c r="G166" s="30" t="str">
        <x:v>一覧表示・検索</x:v>
      </x:c>
    </x:row>
    <x:row r="167" ht="28" customHeight="1">
      <x:c r="A167" s="30" t="str">
        <x:v>SC-CO-022</x:v>
      </x:c>
      <x:c r="B167" s="30" t="str">
        <x:v>ユーザー評価対象一覧</x:v>
      </x:c>
      <x:c r="C167" s="30" t="n">
        <x:v>25</x:v>
      </x:c>
      <x:c r="D167" s="30" t="str">
        <x:v>企業</x:v>
      </x:c>
      <x:c r="E167" s="30" t="str">
        <x:v>評価</x:v>
      </x:c>
      <x:c r="F167" s="30" t="str">
        <x:v>評価下書き・確定</x:v>
      </x:c>
      <x:c r="G167" s="30" t="str">
        <x:v>一覧表示・検索</x:v>
      </x:c>
    </x:row>
    <x:row r="168" ht="28" customHeight="1">
      <x:c r="A168" s="30" t="str">
        <x:v>SC-CO-022</x:v>
      </x:c>
      <x:c r="B168" s="30" t="str">
        <x:v>ユーザー評価対象一覧</x:v>
      </x:c>
      <x:c r="C168" s="30" t="n">
        <x:v>76</x:v>
      </x:c>
      <x:c r="D168" s="30" t="str">
        <x:v>共通</x:v>
      </x:c>
      <x:c r="E168" s="30" t="str">
        <x:v>評価</x:v>
      </x:c>
      <x:c r="F168" s="30" t="str">
        <x:v>評価対象判定</x:v>
      </x:c>
      <x:c r="G168" s="30" t="str">
        <x:v>一覧表示・検索</x:v>
      </x:c>
    </x:row>
    <x:row r="169" ht="28" customHeight="1">
      <x:c r="A169" s="30" t="str">
        <x:v>SC-CO-022</x:v>
      </x:c>
      <x:c r="B169" s="30" t="str">
        <x:v>ユーザー評価対象一覧</x:v>
      </x:c>
      <x:c r="C169" s="30" t="n">
        <x:v>77</x:v>
      </x:c>
      <x:c r="D169" s="30" t="str">
        <x:v>共通</x:v>
      </x:c>
      <x:c r="E169" s="30" t="str">
        <x:v>評価</x:v>
      </x:c>
      <x:c r="F169" s="30" t="str">
        <x:v>評価期限通知</x:v>
      </x:c>
      <x:c r="G169" s="30" t="str">
        <x:v>一覧表示・検索</x:v>
      </x:c>
    </x:row>
    <x:row r="170" ht="28" customHeight="1">
      <x:c r="A170" s="30" t="str">
        <x:v>SC-CO-023</x:v>
      </x:c>
      <x:c r="B170" s="30" t="str">
        <x:v>ユーザー評価入力</x:v>
      </x:c>
      <x:c r="C170" s="30" t="n">
        <x:v>23</x:v>
      </x:c>
      <x:c r="D170" s="30" t="str">
        <x:v>企業</x:v>
      </x:c>
      <x:c r="E170" s="30" t="str">
        <x:v>評価</x:v>
      </x:c>
      <x:c r="F170" s="30" t="str">
        <x:v>ユーザー評価登録</x:v>
      </x:c>
      <x:c r="G170" s="30" t="str">
        <x:v>入力・登録</x:v>
      </x:c>
    </x:row>
    <x:row r="171" ht="28" customHeight="1">
      <x:c r="A171" s="30" t="str">
        <x:v>SC-CO-023</x:v>
      </x:c>
      <x:c r="B171" s="30" t="str">
        <x:v>ユーザー評価入力</x:v>
      </x:c>
      <x:c r="C171" s="30" t="n">
        <x:v>24</x:v>
      </x:c>
      <x:c r="D171" s="30" t="str">
        <x:v>企業</x:v>
      </x:c>
      <x:c r="E171" s="30" t="str">
        <x:v>評価</x:v>
      </x:c>
      <x:c r="F171" s="30" t="str">
        <x:v>評価コメント登録</x:v>
      </x:c>
      <x:c r="G171" s="30" t="str">
        <x:v>入力・登録</x:v>
      </x:c>
    </x:row>
    <x:row r="172" ht="28" customHeight="1">
      <x:c r="A172" s="30" t="str">
        <x:v>SC-CO-023</x:v>
      </x:c>
      <x:c r="B172" s="30" t="str">
        <x:v>ユーザー評価入力</x:v>
      </x:c>
      <x:c r="C172" s="30" t="n">
        <x:v>25</x:v>
      </x:c>
      <x:c r="D172" s="30" t="str">
        <x:v>企業</x:v>
      </x:c>
      <x:c r="E172" s="30" t="str">
        <x:v>評価</x:v>
      </x:c>
      <x:c r="F172" s="30" t="str">
        <x:v>評価下書き・確定</x:v>
      </x:c>
      <x:c r="G172" s="30" t="str">
        <x:v>入力・登録</x:v>
      </x:c>
    </x:row>
    <x:row r="173" ht="28" customHeight="1">
      <x:c r="A173" s="30" t="str">
        <x:v>SC-CO-024</x:v>
      </x:c>
      <x:c r="B173" s="30" t="str">
        <x:v>ユーザー評価確認・確定</x:v>
      </x:c>
      <x:c r="C173" s="30" t="n">
        <x:v>25</x:v>
      </x:c>
      <x:c r="D173" s="30" t="str">
        <x:v>企業</x:v>
      </x:c>
      <x:c r="E173" s="30" t="str">
        <x:v>評価</x:v>
      </x:c>
      <x:c r="F173" s="30" t="str">
        <x:v>評価下書き・確定</x:v>
      </x:c>
      <x:c r="G173" s="30" t="str">
        <x:v>確認・参照</x:v>
      </x:c>
    </x:row>
    <x:row r="174" ht="28" customHeight="1">
      <x:c r="A174" s="30" t="str">
        <x:v>SC-CO-024</x:v>
      </x:c>
      <x:c r="B174" s="30" t="str">
        <x:v>ユーザー評価確認・確定</x:v>
      </x:c>
      <x:c r="C174" s="30" t="n">
        <x:v>75</x:v>
      </x:c>
      <x:c r="D174" s="30" t="str">
        <x:v>共通</x:v>
      </x:c>
      <x:c r="E174" s="30" t="str">
        <x:v>評価</x:v>
      </x:c>
      <x:c r="F174" s="30" t="str">
        <x:v>双方同時公開</x:v>
      </x:c>
      <x:c r="G174" s="30" t="str">
        <x:v>確認・参照</x:v>
      </x:c>
    </x:row>
    <x:row r="175" ht="28" customHeight="1">
      <x:c r="A175" s="30" t="str">
        <x:v>SC-CO-025</x:v>
      </x:c>
      <x:c r="B175" s="30" t="str">
        <x:v>評価協力率・料金見込み</x:v>
      </x:c>
      <x:c r="C175" s="30" t="n">
        <x:v>26</x:v>
      </x:c>
      <x:c r="D175" s="30" t="str">
        <x:v>企業</x:v>
      </x:c>
      <x:c r="E175" s="30" t="str">
        <x:v>評価</x:v>
      </x:c>
      <x:c r="F175" s="30" t="str">
        <x:v>評価協力率表示</x:v>
      </x:c>
      <x:c r="G175" s="30" t="str">
        <x:v>表示・操作対象</x:v>
      </x:c>
    </x:row>
    <x:row r="176" ht="28" customHeight="1">
      <x:c r="A176" s="30" t="str">
        <x:v>SC-CO-025</x:v>
      </x:c>
      <x:c r="B176" s="30" t="str">
        <x:v>評価協力率・料金見込み</x:v>
      </x:c>
      <x:c r="C176" s="30" t="n">
        <x:v>90</x:v>
      </x:c>
      <x:c r="D176" s="30" t="str">
        <x:v>運営</x:v>
      </x:c>
      <x:c r="E176" s="30" t="str">
        <x:v>料金・契約</x:v>
      </x:c>
      <x:c r="F176" s="30" t="str">
        <x:v>評価協力率計算</x:v>
      </x:c>
      <x:c r="G176" s="30" t="str">
        <x:v>表示・操作対象</x:v>
      </x:c>
    </x:row>
    <x:row r="177" ht="28" customHeight="1">
      <x:c r="A177" s="30" t="str">
        <x:v>SC-CO-025</x:v>
      </x:c>
      <x:c r="B177" s="30" t="str">
        <x:v>評価協力率・料金見込み</x:v>
      </x:c>
      <x:c r="C177" s="30" t="n">
        <x:v>91</x:v>
      </x:c>
      <x:c r="D177" s="30" t="str">
        <x:v>運営</x:v>
      </x:c>
      <x:c r="E177" s="30" t="str">
        <x:v>料金・契約</x:v>
      </x:c>
      <x:c r="F177" s="30" t="str">
        <x:v>月額料金算定</x:v>
      </x:c>
      <x:c r="G177" s="30" t="str">
        <x:v>表示・操作対象</x:v>
      </x:c>
    </x:row>
    <x:row r="178" ht="28" customHeight="1">
      <x:c r="A178" s="30" t="str">
        <x:v>SC-CO-026</x:v>
      </x:c>
      <x:c r="B178" s="30" t="str">
        <x:v>企業への評価・公式返信</x:v>
      </x:c>
      <x:c r="C178" s="30" t="n">
        <x:v>27</x:v>
      </x:c>
      <x:c r="D178" s="30" t="str">
        <x:v>企業</x:v>
      </x:c>
      <x:c r="E178" s="30" t="str">
        <x:v>評価</x:v>
      </x:c>
      <x:c r="F178" s="30" t="str">
        <x:v>企業からの評価返信</x:v>
      </x:c>
      <x:c r="G178" s="30" t="str">
        <x:v>表示・操作対象</x:v>
      </x:c>
    </x:row>
    <x:row r="179" ht="28" customHeight="1">
      <x:c r="A179" s="30" t="str">
        <x:v>SC-CO-026</x:v>
      </x:c>
      <x:c r="B179" s="30" t="str">
        <x:v>企業への評価・公式返信</x:v>
      </x:c>
      <x:c r="C179" s="30" t="n">
        <x:v>57</x:v>
      </x:c>
      <x:c r="D179" s="30" t="str">
        <x:v>ユーザー</x:v>
      </x:c>
      <x:c r="E179" s="30" t="str">
        <x:v>評価</x:v>
      </x:c>
      <x:c r="F179" s="30" t="str">
        <x:v>企業評価登録</x:v>
      </x:c>
      <x:c r="G179" s="30" t="str">
        <x:v>表示・操作対象</x:v>
      </x:c>
    </x:row>
    <x:row r="180" ht="28" customHeight="1">
      <x:c r="A180" s="30" t="str">
        <x:v>SC-CO-026</x:v>
      </x:c>
      <x:c r="B180" s="30" t="str">
        <x:v>企業への評価・公式返信</x:v>
      </x:c>
      <x:c r="C180" s="30" t="n">
        <x:v>75</x:v>
      </x:c>
      <x:c r="D180" s="30" t="str">
        <x:v>共通</x:v>
      </x:c>
      <x:c r="E180" s="30" t="str">
        <x:v>評価</x:v>
      </x:c>
      <x:c r="F180" s="30" t="str">
        <x:v>双方同時公開</x:v>
      </x:c>
      <x:c r="G180" s="30" t="str">
        <x:v>表示・操作対象</x:v>
      </x:c>
    </x:row>
    <x:row r="181" ht="28" customHeight="1">
      <x:c r="A181" s="30" t="str">
        <x:v>SC-CO-027</x:v>
      </x:c>
      <x:c r="B181" s="30" t="str">
        <x:v>採用者の従業員登録</x:v>
      </x:c>
      <x:c r="C181" s="30" t="n">
        <x:v>28</x:v>
      </x:c>
      <x:c r="D181" s="30" t="str">
        <x:v>企業</x:v>
      </x:c>
      <x:c r="E181" s="30" t="str">
        <x:v>従業員管理</x:v>
      </x:c>
      <x:c r="F181" s="30" t="str">
        <x:v>採用者の従業員登録</x:v>
      </x:c>
      <x:c r="G181" s="30" t="str">
        <x:v>入力・登録</x:v>
      </x:c>
    </x:row>
    <x:row r="182" ht="28" customHeight="1">
      <x:c r="A182" s="30" t="str">
        <x:v>SC-CO-027</x:v>
      </x:c>
      <x:c r="B182" s="30" t="str">
        <x:v>採用者の従業員登録</x:v>
      </x:c>
      <x:c r="C182" s="30" t="n">
        <x:v>31</x:v>
      </x:c>
      <x:c r="D182" s="30" t="str">
        <x:v>企業</x:v>
      </x:c>
      <x:c r="E182" s="30" t="str">
        <x:v>従業員管理</x:v>
      </x:c>
      <x:c r="F182" s="30" t="str">
        <x:v>雇用契約管理</x:v>
      </x:c>
      <x:c r="G182" s="30" t="str">
        <x:v>入力・登録</x:v>
      </x:c>
    </x:row>
    <x:row r="183" ht="28" customHeight="1">
      <x:c r="A183" s="30" t="str">
        <x:v>SC-CO-028</x:v>
      </x:c>
      <x:c r="B183" s="30" t="str">
        <x:v>従業員一覧</x:v>
      </x:c>
      <x:c r="C183" s="30" t="n">
        <x:v>29</x:v>
      </x:c>
      <x:c r="D183" s="30" t="str">
        <x:v>企業</x:v>
      </x:c>
      <x:c r="E183" s="30" t="str">
        <x:v>従業員管理</x:v>
      </x:c>
      <x:c r="F183" s="30" t="str">
        <x:v>従業員一覧・検索</x:v>
      </x:c>
      <x:c r="G183" s="30" t="str">
        <x:v>一覧表示・検索</x:v>
      </x:c>
    </x:row>
    <x:row r="184" ht="28" customHeight="1">
      <x:c r="A184" s="30" t="str">
        <x:v>SC-CO-029</x:v>
      </x:c>
      <x:c r="B184" s="30" t="str">
        <x:v>従業員詳細</x:v>
      </x:c>
      <x:c r="C184" s="30" t="n">
        <x:v>29</x:v>
      </x:c>
      <x:c r="D184" s="30" t="str">
        <x:v>企業</x:v>
      </x:c>
      <x:c r="E184" s="30" t="str">
        <x:v>従業員管理</x:v>
      </x:c>
      <x:c r="F184" s="30" t="str">
        <x:v>従業員一覧・検索</x:v>
      </x:c>
      <x:c r="G184" s="30" t="str">
        <x:v>確認・参照</x:v>
      </x:c>
    </x:row>
    <x:row r="185" ht="28" customHeight="1">
      <x:c r="A185" s="30" t="str">
        <x:v>SC-CO-029</x:v>
      </x:c>
      <x:c r="B185" s="30" t="str">
        <x:v>従業員詳細</x:v>
      </x:c>
      <x:c r="C185" s="30" t="n">
        <x:v>30</x:v>
      </x:c>
      <x:c r="D185" s="30" t="str">
        <x:v>企業</x:v>
      </x:c>
      <x:c r="E185" s="30" t="str">
        <x:v>従業員管理</x:v>
      </x:c>
      <x:c r="F185" s="30" t="str">
        <x:v>部署・所属管理</x:v>
      </x:c>
      <x:c r="G185" s="30" t="str">
        <x:v>確認・参照</x:v>
      </x:c>
    </x:row>
    <x:row r="186" ht="28" customHeight="1">
      <x:c r="A186" s="30" t="str">
        <x:v>SC-CO-029</x:v>
      </x:c>
      <x:c r="B186" s="30" t="str">
        <x:v>従業員詳細</x:v>
      </x:c>
      <x:c r="C186" s="30" t="n">
        <x:v>31</x:v>
      </x:c>
      <x:c r="D186" s="30" t="str">
        <x:v>企業</x:v>
      </x:c>
      <x:c r="E186" s="30" t="str">
        <x:v>従業員管理</x:v>
      </x:c>
      <x:c r="F186" s="30" t="str">
        <x:v>雇用契約管理</x:v>
      </x:c>
      <x:c r="G186" s="30" t="str">
        <x:v>確認・参照</x:v>
      </x:c>
    </x:row>
    <x:row r="187" ht="28" customHeight="1">
      <x:c r="A187" s="30" t="str">
        <x:v>SC-CO-029</x:v>
      </x:c>
      <x:c r="B187" s="30" t="str">
        <x:v>従業員詳細</x:v>
      </x:c>
      <x:c r="C187" s="30" t="n">
        <x:v>32</x:v>
      </x:c>
      <x:c r="D187" s="30" t="str">
        <x:v>企業</x:v>
      </x:c>
      <x:c r="E187" s="30" t="str">
        <x:v>従業員管理</x:v>
      </x:c>
      <x:c r="F187" s="30" t="str">
        <x:v>従業員書類管理</x:v>
      </x:c>
      <x:c r="G187" s="30" t="str">
        <x:v>確認・参照</x:v>
      </x:c>
    </x:row>
    <x:row r="188" ht="28" customHeight="1">
      <x:c r="A188" s="30" t="str">
        <x:v>SC-CO-029</x:v>
      </x:c>
      <x:c r="B188" s="30" t="str">
        <x:v>従業員詳細</x:v>
      </x:c>
      <x:c r="C188" s="30" t="n">
        <x:v>33</x:v>
      </x:c>
      <x:c r="D188" s="30" t="str">
        <x:v>企業</x:v>
      </x:c>
      <x:c r="E188" s="30" t="str">
        <x:v>従業員管理</x:v>
      </x:c>
      <x:c r="F188" s="30" t="str">
        <x:v>退職・休職管理</x:v>
      </x:c>
      <x:c r="G188" s="30" t="str">
        <x:v>確認・参照</x:v>
      </x:c>
    </x:row>
    <x:row r="189" ht="28" customHeight="1">
      <x:c r="A189" s="30" t="str">
        <x:v>SC-CO-030</x:v>
      </x:c>
      <x:c r="B189" s="30" t="str">
        <x:v>部署・所属管理</x:v>
      </x:c>
      <x:c r="C189" s="30" t="n">
        <x:v>30</x:v>
      </x:c>
      <x:c r="D189" s="30" t="str">
        <x:v>企業</x:v>
      </x:c>
      <x:c r="E189" s="30" t="str">
        <x:v>従業員管理</x:v>
      </x:c>
      <x:c r="F189" s="30" t="str">
        <x:v>部署・所属管理</x:v>
      </x:c>
      <x:c r="G189" s="30" t="str">
        <x:v>表示・操作対象</x:v>
      </x:c>
    </x:row>
    <x:row r="190" ht="28" customHeight="1">
      <x:c r="A190" s="30" t="str">
        <x:v>SC-CO-031</x:v>
      </x:c>
      <x:c r="B190" s="30" t="str">
        <x:v>雇用契約管理</x:v>
      </x:c>
      <x:c r="C190" s="30" t="n">
        <x:v>31</x:v>
      </x:c>
      <x:c r="D190" s="30" t="str">
        <x:v>企業</x:v>
      </x:c>
      <x:c r="E190" s="30" t="str">
        <x:v>従業員管理</x:v>
      </x:c>
      <x:c r="F190" s="30" t="str">
        <x:v>雇用契約管理</x:v>
      </x:c>
      <x:c r="G190" s="30" t="str">
        <x:v>表示・操作対象</x:v>
      </x:c>
    </x:row>
    <x:row r="191" ht="28" customHeight="1">
      <x:c r="A191" s="30" t="str">
        <x:v>SC-CO-032</x:v>
      </x:c>
      <x:c r="B191" s="30" t="str">
        <x:v>従業員書類管理</x:v>
      </x:c>
      <x:c r="C191" s="30" t="n">
        <x:v>32</x:v>
      </x:c>
      <x:c r="D191" s="30" t="str">
        <x:v>企業</x:v>
      </x:c>
      <x:c r="E191" s="30" t="str">
        <x:v>従業員管理</x:v>
      </x:c>
      <x:c r="F191" s="30" t="str">
        <x:v>従業員書類管理</x:v>
      </x:c>
      <x:c r="G191" s="30" t="str">
        <x:v>表示・操作対象</x:v>
      </x:c>
    </x:row>
    <x:row r="192" ht="28" customHeight="1">
      <x:c r="A192" s="30" t="str">
        <x:v>SC-CO-033</x:v>
      </x:c>
      <x:c r="B192" s="30" t="str">
        <x:v>休職・退職登録</x:v>
      </x:c>
      <x:c r="C192" s="30" t="n">
        <x:v>33</x:v>
      </x:c>
      <x:c r="D192" s="30" t="str">
        <x:v>企業</x:v>
      </x:c>
      <x:c r="E192" s="30" t="str">
        <x:v>従業員管理</x:v>
      </x:c>
      <x:c r="F192" s="30" t="str">
        <x:v>退職・休職管理</x:v>
      </x:c>
      <x:c r="G192" s="30" t="str">
        <x:v>入力・登録</x:v>
      </x:c>
    </x:row>
    <x:row r="193" ht="28" customHeight="1">
      <x:c r="A193" s="30" t="str">
        <x:v>SC-CO-034</x:v>
      </x:c>
      <x:c r="B193" s="30" t="str">
        <x:v>勤怠管理ダッシュボード</x:v>
      </x:c>
      <x:c r="C193" s="30" t="n">
        <x:v>34</x:v>
      </x:c>
      <x:c r="D193" s="30" t="str">
        <x:v>企業</x:v>
      </x:c>
      <x:c r="E193" s="30" t="str">
        <x:v>勤怠</x:v>
      </x:c>
      <x:c r="F193" s="30" t="str">
        <x:v>出勤・退勤打刻</x:v>
      </x:c>
      <x:c r="G193" s="30" t="str">
        <x:v>集約表示・導線</x:v>
      </x:c>
    </x:row>
    <x:row r="194" ht="28" customHeight="1">
      <x:c r="A194" s="30" t="str">
        <x:v>SC-CO-034</x:v>
      </x:c>
      <x:c r="B194" s="30" t="str">
        <x:v>勤怠管理ダッシュボード</x:v>
      </x:c>
      <x:c r="C194" s="30" t="n">
        <x:v>35</x:v>
      </x:c>
      <x:c r="D194" s="30" t="str">
        <x:v>企業</x:v>
      </x:c>
      <x:c r="E194" s="30" t="str">
        <x:v>勤怠</x:v>
      </x:c>
      <x:c r="F194" s="30" t="str">
        <x:v>休憩打刻</x:v>
      </x:c>
      <x:c r="G194" s="30" t="str">
        <x:v>集約表示・導線</x:v>
      </x:c>
    </x:row>
    <x:row r="195" ht="28" customHeight="1">
      <x:c r="A195" s="30" t="str">
        <x:v>SC-CO-034</x:v>
      </x:c>
      <x:c r="B195" s="30" t="str">
        <x:v>勤怠管理ダッシュボード</x:v>
      </x:c>
      <x:c r="C195" s="30" t="n">
        <x:v>37</x:v>
      </x:c>
      <x:c r="D195" s="30" t="str">
        <x:v>企業</x:v>
      </x:c>
      <x:c r="E195" s="30" t="str">
        <x:v>勤怠</x:v>
      </x:c>
      <x:c r="F195" s="30" t="str">
        <x:v>休暇申請・承認</x:v>
      </x:c>
      <x:c r="G195" s="30" t="str">
        <x:v>集約表示・導線</x:v>
      </x:c>
    </x:row>
    <x:row r="196" ht="28" customHeight="1">
      <x:c r="A196" s="30" t="str">
        <x:v>SC-CO-034</x:v>
      </x:c>
      <x:c r="B196" s="30" t="str">
        <x:v>勤怠管理ダッシュボード</x:v>
      </x:c>
      <x:c r="C196" s="30" t="n">
        <x:v>38</x:v>
      </x:c>
      <x:c r="D196" s="30" t="str">
        <x:v>企業</x:v>
      </x:c>
      <x:c r="E196" s="30" t="str">
        <x:v>勤怠</x:v>
      </x:c>
      <x:c r="F196" s="30" t="str">
        <x:v>勤怠修正申請</x:v>
      </x:c>
      <x:c r="G196" s="30" t="str">
        <x:v>集約表示・導線</x:v>
      </x:c>
    </x:row>
    <x:row r="197" ht="28" customHeight="1">
      <x:c r="A197" s="30" t="str">
        <x:v>SC-CO-034</x:v>
      </x:c>
      <x:c r="B197" s="30" t="str">
        <x:v>勤怠管理ダッシュボード</x:v>
      </x:c>
      <x:c r="C197" s="30" t="n">
        <x:v>39</x:v>
      </x:c>
      <x:c r="D197" s="30" t="str">
        <x:v>企業</x:v>
      </x:c>
      <x:c r="E197" s="30" t="str">
        <x:v>勤怠</x:v>
      </x:c>
      <x:c r="F197" s="30" t="str">
        <x:v>月次勤怠締め</x:v>
      </x:c>
      <x:c r="G197" s="30" t="str">
        <x:v>集約表示・導線</x:v>
      </x:c>
    </x:row>
    <x:row r="198" ht="28" customHeight="1">
      <x:c r="A198" s="30" t="str">
        <x:v>SC-CO-035</x:v>
      </x:c>
      <x:c r="B198" s="30" t="str">
        <x:v>日別勤怠一覧</x:v>
      </x:c>
      <x:c r="C198" s="30" t="n">
        <x:v>34</x:v>
      </x:c>
      <x:c r="D198" s="30" t="str">
        <x:v>企業</x:v>
      </x:c>
      <x:c r="E198" s="30" t="str">
        <x:v>勤怠</x:v>
      </x:c>
      <x:c r="F198" s="30" t="str">
        <x:v>出勤・退勤打刻</x:v>
      </x:c>
      <x:c r="G198" s="30" t="str">
        <x:v>一覧表示・検索</x:v>
      </x:c>
    </x:row>
    <x:row r="199" ht="28" customHeight="1">
      <x:c r="A199" s="30" t="str">
        <x:v>SC-CO-035</x:v>
      </x:c>
      <x:c r="B199" s="30" t="str">
        <x:v>日別勤怠一覧</x:v>
      </x:c>
      <x:c r="C199" s="30" t="n">
        <x:v>35</x:v>
      </x:c>
      <x:c r="D199" s="30" t="str">
        <x:v>企業</x:v>
      </x:c>
      <x:c r="E199" s="30" t="str">
        <x:v>勤怠</x:v>
      </x:c>
      <x:c r="F199" s="30" t="str">
        <x:v>休憩打刻</x:v>
      </x:c>
      <x:c r="G199" s="30" t="str">
        <x:v>一覧表示・検索</x:v>
      </x:c>
    </x:row>
    <x:row r="200" ht="28" customHeight="1">
      <x:c r="A200" s="30" t="str">
        <x:v>SC-CO-035</x:v>
      </x:c>
      <x:c r="B200" s="30" t="str">
        <x:v>日別勤怠一覧</x:v>
      </x:c>
      <x:c r="C200" s="30" t="n">
        <x:v>38</x:v>
      </x:c>
      <x:c r="D200" s="30" t="str">
        <x:v>企業</x:v>
      </x:c>
      <x:c r="E200" s="30" t="str">
        <x:v>勤怠</x:v>
      </x:c>
      <x:c r="F200" s="30" t="str">
        <x:v>勤怠修正申請</x:v>
      </x:c>
      <x:c r="G200" s="30" t="str">
        <x:v>一覧表示・検索</x:v>
      </x:c>
    </x:row>
    <x:row r="201" ht="28" customHeight="1">
      <x:c r="A201" s="30" t="str">
        <x:v>SC-CO-036</x:v>
      </x:c>
      <x:c r="B201" s="30" t="str">
        <x:v>シフト管理</x:v>
      </x:c>
      <x:c r="C201" s="30" t="n">
        <x:v>36</x:v>
      </x:c>
      <x:c r="D201" s="30" t="str">
        <x:v>企業</x:v>
      </x:c>
      <x:c r="E201" s="30" t="str">
        <x:v>勤怠</x:v>
      </x:c>
      <x:c r="F201" s="30" t="str">
        <x:v>シフト登録</x:v>
      </x:c>
      <x:c r="G201" s="30" t="str">
        <x:v>表示・操作対象</x:v>
      </x:c>
    </x:row>
    <x:row r="202" ht="28" customHeight="1">
      <x:c r="A202" s="30" t="str">
        <x:v>SC-CO-037</x:v>
      </x:c>
      <x:c r="B202" s="30" t="str">
        <x:v>休暇申請承認</x:v>
      </x:c>
      <x:c r="C202" s="30" t="n">
        <x:v>37</x:v>
      </x:c>
      <x:c r="D202" s="30" t="str">
        <x:v>企業</x:v>
      </x:c>
      <x:c r="E202" s="30" t="str">
        <x:v>勤怠</x:v>
      </x:c>
      <x:c r="F202" s="30" t="str">
        <x:v>休暇申請・承認</x:v>
      </x:c>
      <x:c r="G202" s="30" t="str">
        <x:v>入力・登録</x:v>
      </x:c>
    </x:row>
    <x:row r="203" ht="28" customHeight="1">
      <x:c r="A203" s="30" t="str">
        <x:v>SC-CO-038</x:v>
      </x:c>
      <x:c r="B203" s="30" t="str">
        <x:v>勤怠修正申請承認</x:v>
      </x:c>
      <x:c r="C203" s="30" t="n">
        <x:v>38</x:v>
      </x:c>
      <x:c r="D203" s="30" t="str">
        <x:v>企業</x:v>
      </x:c>
      <x:c r="E203" s="30" t="str">
        <x:v>勤怠</x:v>
      </x:c>
      <x:c r="F203" s="30" t="str">
        <x:v>勤怠修正申請</x:v>
      </x:c>
      <x:c r="G203" s="30" t="str">
        <x:v>入力・登録</x:v>
      </x:c>
    </x:row>
    <x:row r="204" ht="28" customHeight="1">
      <x:c r="A204" s="30" t="str">
        <x:v>SC-CO-039</x:v>
      </x:c>
      <x:c r="B204" s="30" t="str">
        <x:v>月次勤怠締め</x:v>
      </x:c>
      <x:c r="C204" s="30" t="n">
        <x:v>39</x:v>
      </x:c>
      <x:c r="D204" s="30" t="str">
        <x:v>企業</x:v>
      </x:c>
      <x:c r="E204" s="30" t="str">
        <x:v>勤怠</x:v>
      </x:c>
      <x:c r="F204" s="30" t="str">
        <x:v>月次勤怠締め</x:v>
      </x:c>
      <x:c r="G204" s="30" t="str">
        <x:v>表示・操作対象</x:v>
      </x:c>
    </x:row>
    <x:row r="205" ht="28" customHeight="1">
      <x:c r="A205" s="30" t="str">
        <x:v>SC-CO-040</x:v>
      </x:c>
      <x:c r="B205" s="30" t="str">
        <x:v>勤怠データ出力</x:v>
      </x:c>
      <x:c r="C205" s="30" t="n">
        <x:v>40</x:v>
      </x:c>
      <x:c r="D205" s="30" t="str">
        <x:v>企業</x:v>
      </x:c>
      <x:c r="E205" s="30" t="str">
        <x:v>勤怠</x:v>
      </x:c>
      <x:c r="F205" s="30" t="str">
        <x:v>勤怠CSV・Excel出力</x:v>
      </x:c>
      <x:c r="G205" s="30" t="str">
        <x:v>表示・操作対象</x:v>
      </x:c>
    </x:row>
    <x:row r="206" ht="28" customHeight="1">
      <x:c r="A206" s="30" t="str">
        <x:v>SC-CO-041</x:v>
      </x:c>
      <x:c r="B206" s="30" t="str">
        <x:v>企業通知一覧</x:v>
      </x:c>
      <x:c r="C206" s="30" t="n">
        <x:v>77</x:v>
      </x:c>
      <x:c r="D206" s="30" t="str">
        <x:v>共通</x:v>
      </x:c>
      <x:c r="E206" s="30" t="str">
        <x:v>評価</x:v>
      </x:c>
      <x:c r="F206" s="30" t="str">
        <x:v>評価期限通知</x:v>
      </x:c>
      <x:c r="G206" s="30" t="str">
        <x:v>一覧表示・検索</x:v>
      </x:c>
    </x:row>
    <x:row r="207" ht="28" customHeight="1">
      <x:c r="A207" s="30" t="str">
        <x:v>SC-CO-041</x:v>
      </x:c>
      <x:c r="B207" s="30" t="str">
        <x:v>企業通知一覧</x:v>
      </x:c>
      <x:c r="C207" s="30" t="n">
        <x:v>79</x:v>
      </x:c>
      <x:c r="D207" s="30" t="str">
        <x:v>共通</x:v>
      </x:c>
      <x:c r="E207" s="30" t="str">
        <x:v>通知</x:v>
      </x:c>
      <x:c r="F207" s="30" t="str">
        <x:v>サイト内通知</x:v>
      </x:c>
      <x:c r="G207" s="30" t="str">
        <x:v>一覧表示・検索</x:v>
      </x:c>
    </x:row>
    <x:row r="208" ht="28" customHeight="1">
      <x:c r="A208" s="30" t="str">
        <x:v>SC-CO-041</x:v>
      </x:c>
      <x:c r="B208" s="30" t="str">
        <x:v>企業通知一覧</x:v>
      </x:c>
      <x:c r="C208" s="30" t="n">
        <x:v>80</x:v>
      </x:c>
      <x:c r="D208" s="30" t="str">
        <x:v>共通</x:v>
      </x:c>
      <x:c r="E208" s="30" t="str">
        <x:v>通知</x:v>
      </x:c>
      <x:c r="F208" s="30" t="str">
        <x:v>メール通知</x:v>
      </x:c>
      <x:c r="G208" s="30" t="str">
        <x:v>一覧表示・検索</x:v>
      </x:c>
    </x:row>
    <x:row r="209" ht="28" customHeight="1">
      <x:c r="A209" s="30" t="str">
        <x:v>SC-CO-042</x:v>
      </x:c>
      <x:c r="B209" s="30" t="str">
        <x:v>プラン・利用状況</x:v>
      </x:c>
      <x:c r="C209" s="30" t="n">
        <x:v>89</x:v>
      </x:c>
      <x:c r="D209" s="30" t="str">
        <x:v>運営</x:v>
      </x:c>
      <x:c r="E209" s="30" t="str">
        <x:v>料金・契約</x:v>
      </x:c>
      <x:c r="F209" s="30" t="str">
        <x:v>企業プラン管理</x:v>
      </x:c>
      <x:c r="G209" s="30" t="str">
        <x:v>確認・参照</x:v>
      </x:c>
    </x:row>
    <x:row r="210" ht="28" customHeight="1">
      <x:c r="A210" s="30" t="str">
        <x:v>SC-CO-042</x:v>
      </x:c>
      <x:c r="B210" s="30" t="str">
        <x:v>プラン・利用状況</x:v>
      </x:c>
      <x:c r="C210" s="30" t="n">
        <x:v>90</x:v>
      </x:c>
      <x:c r="D210" s="30" t="str">
        <x:v>運営</x:v>
      </x:c>
      <x:c r="E210" s="30" t="str">
        <x:v>料金・契約</x:v>
      </x:c>
      <x:c r="F210" s="30" t="str">
        <x:v>評価協力率計算</x:v>
      </x:c>
      <x:c r="G210" s="30" t="str">
        <x:v>確認・参照</x:v>
      </x:c>
    </x:row>
    <x:row r="211" ht="28" customHeight="1">
      <x:c r="A211" s="30" t="str">
        <x:v>SC-CO-042</x:v>
      </x:c>
      <x:c r="B211" s="30" t="str">
        <x:v>プラン・利用状況</x:v>
      </x:c>
      <x:c r="C211" s="30" t="n">
        <x:v>91</x:v>
      </x:c>
      <x:c r="D211" s="30" t="str">
        <x:v>運営</x:v>
      </x:c>
      <x:c r="E211" s="30" t="str">
        <x:v>料金・契約</x:v>
      </x:c>
      <x:c r="F211" s="30" t="str">
        <x:v>月額料金算定</x:v>
      </x:c>
      <x:c r="G211" s="30" t="str">
        <x:v>確認・参照</x:v>
      </x:c>
    </x:row>
    <x:row r="212" ht="28" customHeight="1">
      <x:c r="A212" s="30" t="str">
        <x:v>SC-CO-042</x:v>
      </x:c>
      <x:c r="B212" s="30" t="str">
        <x:v>プラン・利用状況</x:v>
      </x:c>
      <x:c r="C212" s="30" t="n">
        <x:v>92</x:v>
      </x:c>
      <x:c r="D212" s="30" t="str">
        <x:v>運営</x:v>
      </x:c>
      <x:c r="E212" s="30" t="str">
        <x:v>料金・契約</x:v>
      </x:c>
      <x:c r="F212" s="30" t="str">
        <x:v>請求・決済</x:v>
      </x:c>
      <x:c r="G212" s="30" t="str">
        <x:v>確認・参照</x:v>
      </x:c>
    </x:row>
    <x:row r="213" ht="28" customHeight="1">
      <x:c r="A213" s="30" t="str">
        <x:v>SC-CO-043</x:v>
      </x:c>
      <x:c r="B213" s="30" t="str">
        <x:v>決済方法・請求履歴</x:v>
      </x:c>
      <x:c r="C213" s="30" t="n">
        <x:v>92</x:v>
      </x:c>
      <x:c r="D213" s="30" t="str">
        <x:v>運営</x:v>
      </x:c>
      <x:c r="E213" s="30" t="str">
        <x:v>料金・契約</x:v>
      </x:c>
      <x:c r="F213" s="30" t="str">
        <x:v>請求・決済</x:v>
      </x:c>
      <x:c r="G213" s="30" t="str">
        <x:v>確認・参照</x:v>
      </x:c>
    </x:row>
    <x:row r="214" ht="28" customHeight="1">
      <x:c r="A214" s="30" t="str">
        <x:v>SC-CO-044</x:v>
      </x:c>
      <x:c r="B214" s="30" t="str">
        <x:v>操作履歴</x:v>
      </x:c>
      <x:c r="C214" s="30" t="n">
        <x:v>82</x:v>
      </x:c>
      <x:c r="D214" s="30" t="str">
        <x:v>共通</x:v>
      </x:c>
      <x:c r="E214" s="30" t="str">
        <x:v>セキュリティ</x:v>
      </x:c>
      <x:c r="F214" s="30" t="str">
        <x:v>操作履歴</x:v>
      </x:c>
      <x:c r="G214" s="30" t="str">
        <x:v>確認・参照</x:v>
      </x:c>
    </x:row>
    <x:row r="215" ht="28" customHeight="1">
      <x:c r="A215" s="30" t="str">
        <x:v>SC-CO-045</x:v>
      </x:c>
      <x:c r="B215" s="30" t="str">
        <x:v>企業アカウント設定</x:v>
      </x:c>
      <x:c r="C215" s="30" t="n">
        <x:v>80</x:v>
      </x:c>
      <x:c r="D215" s="30" t="str">
        <x:v>共通</x:v>
      </x:c>
      <x:c r="E215" s="30" t="str">
        <x:v>通知</x:v>
      </x:c>
      <x:c r="F215" s="30" t="str">
        <x:v>メール通知</x:v>
      </x:c>
      <x:c r="G215" s="30" t="str">
        <x:v>表示・操作対象</x:v>
      </x:c>
    </x:row>
    <x:row r="216" ht="28" customHeight="1">
      <x:c r="A216" s="30" t="str">
        <x:v>SC-CO-045</x:v>
      </x:c>
      <x:c r="B216" s="30" t="str">
        <x:v>企業アカウント設定</x:v>
      </x:c>
      <x:c r="C216" s="30" t="n">
        <x:v>81</x:v>
      </x:c>
      <x:c r="D216" s="30" t="str">
        <x:v>共通</x:v>
      </x:c>
      <x:c r="E216" s="30" t="str">
        <x:v>セキュリティ</x:v>
      </x:c>
      <x:c r="F216" s="30" t="str">
        <x:v>パスワード再設定</x:v>
      </x:c>
      <x:c r="G216" s="30" t="str">
        <x:v>表示・操作対象</x:v>
      </x:c>
    </x:row>
    <x:row r="217" ht="28" customHeight="1">
      <x:c r="A217" s="30" t="str">
        <x:v>SC-CO-045</x:v>
      </x:c>
      <x:c r="B217" s="30" t="str">
        <x:v>企業アカウント設定</x:v>
      </x:c>
      <x:c r="C217" s="30" t="n">
        <x:v>83</x:v>
      </x:c>
      <x:c r="D217" s="30" t="str">
        <x:v>共通</x:v>
      </x:c>
      <x:c r="E217" s="30" t="str">
        <x:v>セキュリティ</x:v>
      </x:c>
      <x:c r="F217" s="30" t="str">
        <x:v>退会・アカウント停止</x:v>
      </x:c>
      <x:c r="G217" s="30" t="str">
        <x:v>表示・操作対象</x:v>
      </x:c>
    </x:row>
    <x:row r="218" ht="28" customHeight="1">
      <x:c r="A218" s="30" t="str">
        <x:v>SC-AD-001</x:v>
      </x:c>
      <x:c r="B218" s="30" t="str">
        <x:v>運営管理ログイン</x:v>
      </x:c>
      <x:c r="C218" s="30" t="n">
        <x:v>43</x:v>
      </x:c>
      <x:c r="D218" s="30" t="str">
        <x:v>ユーザー</x:v>
      </x:c>
      <x:c r="E218" s="30" t="str">
        <x:v>アカウント</x:v>
      </x:c>
      <x:c r="F218" s="30" t="str">
        <x:v>ログイン・ログアウト</x:v>
      </x:c>
      <x:c r="G218" s="30" t="str">
        <x:v>表示・操作対象</x:v>
      </x:c>
    </x:row>
    <x:row r="219" ht="28" customHeight="1">
      <x:c r="A219" s="30" t="str">
        <x:v>SC-AD-002</x:v>
      </x:c>
      <x:c r="B219" s="30" t="str">
        <x:v>運営ダッシュボード</x:v>
      </x:c>
      <x:c r="C219" s="30" t="n">
        <x:v>84</x:v>
      </x:c>
      <x:c r="D219" s="30" t="str">
        <x:v>運営</x:v>
      </x:c>
      <x:c r="E219" s="30" t="str">
        <x:v>管理</x:v>
      </x:c>
      <x:c r="F219" s="30" t="str">
        <x:v>企業審査</x:v>
      </x:c>
      <x:c r="G219" s="30" t="str">
        <x:v>集約表示・導線</x:v>
      </x:c>
    </x:row>
    <x:row r="220" ht="28" customHeight="1">
      <x:c r="A220" s="30" t="str">
        <x:v>SC-AD-002</x:v>
      </x:c>
      <x:c r="B220" s="30" t="str">
        <x:v>運営ダッシュボード</x:v>
      </x:c>
      <x:c r="C220" s="30" t="n">
        <x:v>85</x:v>
      </x:c>
      <x:c r="D220" s="30" t="str">
        <x:v>運営</x:v>
      </x:c>
      <x:c r="E220" s="30" t="str">
        <x:v>管理</x:v>
      </x:c>
      <x:c r="F220" s="30" t="str">
        <x:v>求人審査</x:v>
      </x:c>
      <x:c r="G220" s="30" t="str">
        <x:v>集約表示・導線</x:v>
      </x:c>
    </x:row>
    <x:row r="221" ht="28" customHeight="1">
      <x:c r="A221" s="30" t="str">
        <x:v>SC-AD-002</x:v>
      </x:c>
      <x:c r="B221" s="30" t="str">
        <x:v>運営ダッシュボード</x:v>
      </x:c>
      <x:c r="C221" s="30" t="n">
        <x:v>87</x:v>
      </x:c>
      <x:c r="D221" s="30" t="str">
        <x:v>運営</x:v>
      </x:c>
      <x:c r="E221" s="30" t="str">
        <x:v>評価管理</x:v>
      </x:c>
      <x:c r="F221" s="30" t="str">
        <x:v>評価・通報審査</x:v>
      </x:c>
      <x:c r="G221" s="30" t="str">
        <x:v>集約表示・導線</x:v>
      </x:c>
    </x:row>
    <x:row r="222" ht="28" customHeight="1">
      <x:c r="A222" s="30" t="str">
        <x:v>SC-AD-002</x:v>
      </x:c>
      <x:c r="B222" s="30" t="str">
        <x:v>運営ダッシュボード</x:v>
      </x:c>
      <x:c r="C222" s="30" t="n">
        <x:v>90</x:v>
      </x:c>
      <x:c r="D222" s="30" t="str">
        <x:v>運営</x:v>
      </x:c>
      <x:c r="E222" s="30" t="str">
        <x:v>料金・契約</x:v>
      </x:c>
      <x:c r="F222" s="30" t="str">
        <x:v>評価協力率計算</x:v>
      </x:c>
      <x:c r="G222" s="30" t="str">
        <x:v>集約表示・導線</x:v>
      </x:c>
    </x:row>
    <x:row r="223" ht="28" customHeight="1">
      <x:c r="A223" s="30" t="str">
        <x:v>SC-AD-002</x:v>
      </x:c>
      <x:c r="B223" s="30" t="str">
        <x:v>運営ダッシュボード</x:v>
      </x:c>
      <x:c r="C223" s="30" t="n">
        <x:v>91</x:v>
      </x:c>
      <x:c r="D223" s="30" t="str">
        <x:v>運営</x:v>
      </x:c>
      <x:c r="E223" s="30" t="str">
        <x:v>料金・契約</x:v>
      </x:c>
      <x:c r="F223" s="30" t="str">
        <x:v>月額料金算定</x:v>
      </x:c>
      <x:c r="G223" s="30" t="str">
        <x:v>集約表示・導線</x:v>
      </x:c>
    </x:row>
    <x:row r="224" ht="28" customHeight="1">
      <x:c r="A224" s="30" t="str">
        <x:v>SC-AD-002</x:v>
      </x:c>
      <x:c r="B224" s="30" t="str">
        <x:v>運営ダッシュボード</x:v>
      </x:c>
      <x:c r="C224" s="30" t="n">
        <x:v>95</x:v>
      </x:c>
      <x:c r="D224" s="30" t="str">
        <x:v>運営</x:v>
      </x:c>
      <x:c r="E224" s="30" t="str">
        <x:v>分析</x:v>
      </x:c>
      <x:c r="F224" s="30" t="str">
        <x:v>利用状況ダッシュボード</x:v>
      </x:c>
      <x:c r="G224" s="30" t="str">
        <x:v>集約表示・導線</x:v>
      </x:c>
    </x:row>
    <x:row r="225" ht="28" customHeight="1">
      <x:c r="A225" s="30" t="str">
        <x:v>SC-AD-003</x:v>
      </x:c>
      <x:c r="B225" s="30" t="str">
        <x:v>企業審査一覧</x:v>
      </x:c>
      <x:c r="C225" s="30" t="n">
        <x:v>84</x:v>
      </x:c>
      <x:c r="D225" s="30" t="str">
        <x:v>運営</x:v>
      </x:c>
      <x:c r="E225" s="30" t="str">
        <x:v>管理</x:v>
      </x:c>
      <x:c r="F225" s="30" t="str">
        <x:v>企業審査</x:v>
      </x:c>
      <x:c r="G225" s="30" t="str">
        <x:v>一覧表示・検索</x:v>
      </x:c>
    </x:row>
    <x:row r="226" ht="28" customHeight="1">
      <x:c r="A226" s="30" t="str">
        <x:v>SC-AD-004</x:v>
      </x:c>
      <x:c r="B226" s="30" t="str">
        <x:v>企業審査詳細</x:v>
      </x:c>
      <x:c r="C226" s="30" t="n">
        <x:v>84</x:v>
      </x:c>
      <x:c r="D226" s="30" t="str">
        <x:v>運営</x:v>
      </x:c>
      <x:c r="E226" s="30" t="str">
        <x:v>管理</x:v>
      </x:c>
      <x:c r="F226" s="30" t="str">
        <x:v>企業審査</x:v>
      </x:c>
      <x:c r="G226" s="30" t="str">
        <x:v>確認・参照</x:v>
      </x:c>
    </x:row>
    <x:row r="227" ht="28" customHeight="1">
      <x:c r="A227" s="30" t="str">
        <x:v>SC-AD-005</x:v>
      </x:c>
      <x:c r="B227" s="30" t="str">
        <x:v>求人審査一覧</x:v>
      </x:c>
      <x:c r="C227" s="30" t="n">
        <x:v>85</x:v>
      </x:c>
      <x:c r="D227" s="30" t="str">
        <x:v>運営</x:v>
      </x:c>
      <x:c r="E227" s="30" t="str">
        <x:v>管理</x:v>
      </x:c>
      <x:c r="F227" s="30" t="str">
        <x:v>求人審査</x:v>
      </x:c>
      <x:c r="G227" s="30" t="str">
        <x:v>一覧表示・検索</x:v>
      </x:c>
    </x:row>
    <x:row r="228" ht="28" customHeight="1">
      <x:c r="A228" s="30" t="str">
        <x:v>SC-AD-006</x:v>
      </x:c>
      <x:c r="B228" s="30" t="str">
        <x:v>求人審査詳細</x:v>
      </x:c>
      <x:c r="C228" s="30" t="n">
        <x:v>85</x:v>
      </x:c>
      <x:c r="D228" s="30" t="str">
        <x:v>運営</x:v>
      </x:c>
      <x:c r="E228" s="30" t="str">
        <x:v>管理</x:v>
      </x:c>
      <x:c r="F228" s="30" t="str">
        <x:v>求人審査</x:v>
      </x:c>
      <x:c r="G228" s="30" t="str">
        <x:v>確認・参照</x:v>
      </x:c>
    </x:row>
    <x:row r="229" ht="28" customHeight="1">
      <x:c r="A229" s="30" t="str">
        <x:v>SC-AD-007</x:v>
      </x:c>
      <x:c r="B229" s="30" t="str">
        <x:v>ユーザー一覧</x:v>
      </x:c>
      <x:c r="C229" s="30" t="n">
        <x:v>86</x:v>
      </x:c>
      <x:c r="D229" s="30" t="str">
        <x:v>運営</x:v>
      </x:c>
      <x:c r="E229" s="30" t="str">
        <x:v>管理</x:v>
      </x:c>
      <x:c r="F229" s="30" t="str">
        <x:v>ユーザー管理</x:v>
      </x:c>
      <x:c r="G229" s="30" t="str">
        <x:v>一覧表示・検索</x:v>
      </x:c>
    </x:row>
    <x:row r="230" ht="28" customHeight="1">
      <x:c r="A230" s="30" t="str">
        <x:v>SC-AD-008</x:v>
      </x:c>
      <x:c r="B230" s="30" t="str">
        <x:v>ユーザー詳細</x:v>
      </x:c>
      <x:c r="C230" s="30" t="n">
        <x:v>83</x:v>
      </x:c>
      <x:c r="D230" s="30" t="str">
        <x:v>共通</x:v>
      </x:c>
      <x:c r="E230" s="30" t="str">
        <x:v>セキュリティ</x:v>
      </x:c>
      <x:c r="F230" s="30" t="str">
        <x:v>退会・アカウント停止</x:v>
      </x:c>
      <x:c r="G230" s="30" t="str">
        <x:v>確認・参照</x:v>
      </x:c>
    </x:row>
    <x:row r="231" ht="28" customHeight="1">
      <x:c r="A231" s="30" t="str">
        <x:v>SC-AD-008</x:v>
      </x:c>
      <x:c r="B231" s="30" t="str">
        <x:v>ユーザー詳細</x:v>
      </x:c>
      <x:c r="C231" s="30" t="n">
        <x:v>86</x:v>
      </x:c>
      <x:c r="D231" s="30" t="str">
        <x:v>運営</x:v>
      </x:c>
      <x:c r="E231" s="30" t="str">
        <x:v>管理</x:v>
      </x:c>
      <x:c r="F231" s="30" t="str">
        <x:v>ユーザー管理</x:v>
      </x:c>
      <x:c r="G231" s="30" t="str">
        <x:v>確認・参照</x:v>
      </x:c>
    </x:row>
    <x:row r="232" ht="28" customHeight="1">
      <x:c r="A232" s="30" t="str">
        <x:v>SC-AD-009</x:v>
      </x:c>
      <x:c r="B232" s="30" t="str">
        <x:v>評価・通報審査一覧</x:v>
      </x:c>
      <x:c r="C232" s="30" t="n">
        <x:v>61</x:v>
      </x:c>
      <x:c r="D232" s="30" t="str">
        <x:v>ユーザー</x:v>
      </x:c>
      <x:c r="E232" s="30" t="str">
        <x:v>評価</x:v>
      </x:c>
      <x:c r="F232" s="30" t="str">
        <x:v>評価への異議申立て</x:v>
      </x:c>
      <x:c r="G232" s="30" t="str">
        <x:v>一覧表示・検索</x:v>
      </x:c>
    </x:row>
    <x:row r="233" ht="28" customHeight="1">
      <x:c r="A233" s="30" t="str">
        <x:v>SC-AD-009</x:v>
      </x:c>
      <x:c r="B233" s="30" t="str">
        <x:v>評価・通報審査一覧</x:v>
      </x:c>
      <x:c r="C233" s="30" t="n">
        <x:v>78</x:v>
      </x:c>
      <x:c r="D233" s="30" t="str">
        <x:v>共通</x:v>
      </x:c>
      <x:c r="E233" s="30" t="str">
        <x:v>評価</x:v>
      </x:c>
      <x:c r="F233" s="30" t="str">
        <x:v>評価通報</x:v>
      </x:c>
      <x:c r="G233" s="30" t="str">
        <x:v>一覧表示・検索</x:v>
      </x:c>
    </x:row>
    <x:row r="234" ht="28" customHeight="1">
      <x:c r="A234" s="30" t="str">
        <x:v>SC-AD-009</x:v>
      </x:c>
      <x:c r="B234" s="30" t="str">
        <x:v>評価・通報審査一覧</x:v>
      </x:c>
      <x:c r="C234" s="30" t="n">
        <x:v>87</x:v>
      </x:c>
      <x:c r="D234" s="30" t="str">
        <x:v>運営</x:v>
      </x:c>
      <x:c r="E234" s="30" t="str">
        <x:v>評価管理</x:v>
      </x:c>
      <x:c r="F234" s="30" t="str">
        <x:v>評価・通報審査</x:v>
      </x:c>
      <x:c r="G234" s="30" t="str">
        <x:v>一覧表示・検索</x:v>
      </x:c>
    </x:row>
    <x:row r="235" ht="28" customHeight="1">
      <x:c r="A235" s="30" t="str">
        <x:v>SC-AD-010</x:v>
      </x:c>
      <x:c r="B235" s="30" t="str">
        <x:v>評価・通報審査詳細</x:v>
      </x:c>
      <x:c r="C235" s="30" t="n">
        <x:v>78</x:v>
      </x:c>
      <x:c r="D235" s="30" t="str">
        <x:v>共通</x:v>
      </x:c>
      <x:c r="E235" s="30" t="str">
        <x:v>評価</x:v>
      </x:c>
      <x:c r="F235" s="30" t="str">
        <x:v>評価通報</x:v>
      </x:c>
      <x:c r="G235" s="30" t="str">
        <x:v>確認・参照</x:v>
      </x:c>
    </x:row>
    <x:row r="236" ht="28" customHeight="1">
      <x:c r="A236" s="30" t="str">
        <x:v>SC-AD-010</x:v>
      </x:c>
      <x:c r="B236" s="30" t="str">
        <x:v>評価・通報審査詳細</x:v>
      </x:c>
      <x:c r="C236" s="30" t="n">
        <x:v>87</x:v>
      </x:c>
      <x:c r="D236" s="30" t="str">
        <x:v>運営</x:v>
      </x:c>
      <x:c r="E236" s="30" t="str">
        <x:v>評価管理</x:v>
      </x:c>
      <x:c r="F236" s="30" t="str">
        <x:v>評価・通報審査</x:v>
      </x:c>
      <x:c r="G236" s="30" t="str">
        <x:v>確認・参照</x:v>
      </x:c>
    </x:row>
    <x:row r="237" ht="28" customHeight="1">
      <x:c r="A237" s="30" t="str">
        <x:v>SC-AD-010</x:v>
      </x:c>
      <x:c r="B237" s="30" t="str">
        <x:v>評価・通報審査詳細</x:v>
      </x:c>
      <x:c r="C237" s="30" t="n">
        <x:v>88</x:v>
      </x:c>
      <x:c r="D237" s="30" t="str">
        <x:v>運営</x:v>
      </x:c>
      <x:c r="E237" s="30" t="str">
        <x:v>評価管理</x:v>
      </x:c>
      <x:c r="F237" s="30" t="str">
        <x:v>評価編集履歴</x:v>
      </x:c>
      <x:c r="G237" s="30" t="str">
        <x:v>確認・参照</x:v>
      </x:c>
    </x:row>
    <x:row r="238" ht="28" customHeight="1">
      <x:c r="A238" s="30" t="str">
        <x:v>SC-AD-011</x:v>
      </x:c>
      <x:c r="B238" s="30" t="str">
        <x:v>評価編集・対応履歴</x:v>
      </x:c>
      <x:c r="C238" s="30" t="n">
        <x:v>88</x:v>
      </x:c>
      <x:c r="D238" s="30" t="str">
        <x:v>運営</x:v>
      </x:c>
      <x:c r="E238" s="30" t="str">
        <x:v>評価管理</x:v>
      </x:c>
      <x:c r="F238" s="30" t="str">
        <x:v>評価編集履歴</x:v>
      </x:c>
      <x:c r="G238" s="30" t="str">
        <x:v>入力・登録</x:v>
      </x:c>
    </x:row>
    <x:row r="239" ht="28" customHeight="1">
      <x:c r="A239" s="30" t="str">
        <x:v>SC-AD-012</x:v>
      </x:c>
      <x:c r="B239" s="30" t="str">
        <x:v>企業プラン管理</x:v>
      </x:c>
      <x:c r="C239" s="30" t="n">
        <x:v>89</x:v>
      </x:c>
      <x:c r="D239" s="30" t="str">
        <x:v>運営</x:v>
      </x:c>
      <x:c r="E239" s="30" t="str">
        <x:v>料金・契約</x:v>
      </x:c>
      <x:c r="F239" s="30" t="str">
        <x:v>企業プラン管理</x:v>
      </x:c>
      <x:c r="G239" s="30" t="str">
        <x:v>表示・操作対象</x:v>
      </x:c>
    </x:row>
    <x:row r="240" ht="28" customHeight="1">
      <x:c r="A240" s="30" t="str">
        <x:v>SC-AD-013</x:v>
      </x:c>
      <x:c r="B240" s="30" t="str">
        <x:v>月額料金算定詳細</x:v>
      </x:c>
      <x:c r="C240" s="30" t="n">
        <x:v>90</x:v>
      </x:c>
      <x:c r="D240" s="30" t="str">
        <x:v>運営</x:v>
      </x:c>
      <x:c r="E240" s="30" t="str">
        <x:v>料金・契約</x:v>
      </x:c>
      <x:c r="F240" s="30" t="str">
        <x:v>評価協力率計算</x:v>
      </x:c>
      <x:c r="G240" s="30" t="str">
        <x:v>確認・参照</x:v>
      </x:c>
    </x:row>
    <x:row r="241" ht="28" customHeight="1">
      <x:c r="A241" s="30" t="str">
        <x:v>SC-AD-013</x:v>
      </x:c>
      <x:c r="B241" s="30" t="str">
        <x:v>月額料金算定詳細</x:v>
      </x:c>
      <x:c r="C241" s="30" t="n">
        <x:v>91</x:v>
      </x:c>
      <x:c r="D241" s="30" t="str">
        <x:v>運営</x:v>
      </x:c>
      <x:c r="E241" s="30" t="str">
        <x:v>料金・契約</x:v>
      </x:c>
      <x:c r="F241" s="30" t="str">
        <x:v>月額料金算定</x:v>
      </x:c>
      <x:c r="G241" s="30" t="str">
        <x:v>確認・参照</x:v>
      </x:c>
    </x:row>
    <x:row r="242" ht="28" customHeight="1">
      <x:c r="A242" s="30" t="str">
        <x:v>SC-AD-014</x:v>
      </x:c>
      <x:c r="B242" s="30" t="str">
        <x:v>請求・決済管理</x:v>
      </x:c>
      <x:c r="C242" s="30" t="n">
        <x:v>92</x:v>
      </x:c>
      <x:c r="D242" s="30" t="str">
        <x:v>運営</x:v>
      </x:c>
      <x:c r="E242" s="30" t="str">
        <x:v>料金・契約</x:v>
      </x:c>
      <x:c r="F242" s="30" t="str">
        <x:v>請求・決済</x:v>
      </x:c>
      <x:c r="G242" s="30" t="str">
        <x:v>表示・操作対象</x:v>
      </x:c>
    </x:row>
    <x:row r="243" ht="28" customHeight="1">
      <x:c r="A243" s="30" t="str">
        <x:v>SC-AD-015</x:v>
      </x:c>
      <x:c r="B243" s="30" t="str">
        <x:v>マスタ管理メニュー</x:v>
      </x:c>
      <x:c r="C243" s="30" t="n">
        <x:v>93</x:v>
      </x:c>
      <x:c r="D243" s="30" t="str">
        <x:v>運営</x:v>
      </x:c>
      <x:c r="E243" s="30" t="str">
        <x:v>マスタ</x:v>
      </x:c>
      <x:c r="F243" s="30" t="str">
        <x:v>マスタデータ管理</x:v>
      </x:c>
      <x:c r="G243" s="30" t="str">
        <x:v>表示・操作対象</x:v>
      </x:c>
    </x:row>
    <x:row r="244" ht="28" customHeight="1">
      <x:c r="A244" s="30" t="str">
        <x:v>SC-AD-016</x:v>
      </x:c>
      <x:c r="B244" s="30" t="str">
        <x:v>マスタ一覧</x:v>
      </x:c>
      <x:c r="C244" s="30" t="n">
        <x:v>93</x:v>
      </x:c>
      <x:c r="D244" s="30" t="str">
        <x:v>運営</x:v>
      </x:c>
      <x:c r="E244" s="30" t="str">
        <x:v>マスタ</x:v>
      </x:c>
      <x:c r="F244" s="30" t="str">
        <x:v>マスタデータ管理</x:v>
      </x:c>
      <x:c r="G244" s="30" t="str">
        <x:v>一覧表示・検索</x:v>
      </x:c>
    </x:row>
    <x:row r="245" ht="28" customHeight="1">
      <x:c r="A245" s="30" t="str">
        <x:v>SC-AD-017</x:v>
      </x:c>
      <x:c r="B245" s="30" t="str">
        <x:v>マスタ登録・編集</x:v>
      </x:c>
      <x:c r="C245" s="30" t="n">
        <x:v>93</x:v>
      </x:c>
      <x:c r="D245" s="30" t="str">
        <x:v>運営</x:v>
      </x:c>
      <x:c r="E245" s="30" t="str">
        <x:v>マスタ</x:v>
      </x:c>
      <x:c r="F245" s="30" t="str">
        <x:v>マスタデータ管理</x:v>
      </x:c>
      <x:c r="G245" s="30" t="str">
        <x:v>入力・登録</x:v>
      </x:c>
    </x:row>
    <x:row r="246" ht="28" customHeight="1">
      <x:c r="A246" s="30" t="str">
        <x:v>SC-AD-018</x:v>
      </x:c>
      <x:c r="B246" s="30" t="str">
        <x:v>問い合わせ一覧</x:v>
      </x:c>
      <x:c r="C246" s="30" t="n">
        <x:v>94</x:v>
      </x:c>
      <x:c r="D246" s="30" t="str">
        <x:v>運営</x:v>
      </x:c>
      <x:c r="E246" s="30" t="str">
        <x:v>サポート</x:v>
      </x:c>
      <x:c r="F246" s="30" t="str">
        <x:v>問い合わせ管理</x:v>
      </x:c>
      <x:c r="G246" s="30" t="str">
        <x:v>一覧表示・検索</x:v>
      </x:c>
    </x:row>
    <x:row r="247" ht="28" customHeight="1">
      <x:c r="A247" s="30" t="str">
        <x:v>SC-AD-019</x:v>
      </x:c>
      <x:c r="B247" s="30" t="str">
        <x:v>問い合わせ詳細</x:v>
      </x:c>
      <x:c r="C247" s="30" t="n">
        <x:v>94</x:v>
      </x:c>
      <x:c r="D247" s="30" t="str">
        <x:v>運営</x:v>
      </x:c>
      <x:c r="E247" s="30" t="str">
        <x:v>サポート</x:v>
      </x:c>
      <x:c r="F247" s="30" t="str">
        <x:v>問い合わせ管理</x:v>
      </x:c>
      <x:c r="G247" s="30" t="str">
        <x:v>確認・参照</x:v>
      </x:c>
    </x:row>
    <x:row r="248" ht="28" customHeight="1">
      <x:c r="A248" s="30" t="str">
        <x:v>SC-AD-020</x:v>
      </x:c>
      <x:c r="B248" s="30" t="str">
        <x:v>利用状況分析</x:v>
      </x:c>
      <x:c r="C248" s="30" t="n">
        <x:v>95</x:v>
      </x:c>
      <x:c r="D248" s="30" t="str">
        <x:v>運営</x:v>
      </x:c>
      <x:c r="E248" s="30" t="str">
        <x:v>分析</x:v>
      </x:c>
      <x:c r="F248" s="30" t="str">
        <x:v>利用状況ダッシュボード</x:v>
      </x:c>
      <x:c r="G248" s="30" t="str">
        <x:v>確認・参照</x:v>
      </x:c>
    </x:row>
    <x:row r="249" ht="28" customHeight="1">
      <x:c r="A249" s="30" t="str">
        <x:v>SC-AD-021</x:v>
      </x:c>
      <x:c r="B249" s="30" t="str">
        <x:v>監査ログ</x:v>
      </x:c>
      <x:c r="C249" s="30" t="n">
        <x:v>82</x:v>
      </x:c>
      <x:c r="D249" s="30" t="str">
        <x:v>共通</x:v>
      </x:c>
      <x:c r="E249" s="30" t="str">
        <x:v>セキュリティ</x:v>
      </x:c>
      <x:c r="F249" s="30" t="str">
        <x:v>操作履歴</x:v>
      </x:c>
      <x:c r="G249" s="30" t="str">
        <x:v>表示・操作対象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c311c3531574a1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28" hidden="0" customWidth="1"/>
    <x:col min="4" max="4" width="8" hidden="0" customWidth="1"/>
    <x:col min="5" max="5" width="14" hidden="0" customWidth="1"/>
    <x:col min="6" max="6" width="28" hidden="0" customWidth="1"/>
    <x:col min="7" max="7" width="38" hidden="0" customWidth="1"/>
    <x:col min="8" max="8" width="14" hidden="0" customWidth="1"/>
  </x:cols>
  <x:sheetData>
    <x:row r="1">
      <x:c r="A1" s="5" t="str">
        <x:v>主要画面遷移</x:v>
      </x:c>
      <x:c r="B1" s="5"/>
      <x:c r="C1" s="5"/>
      <x:c r="D1" s="5"/>
      <x:c r="E1" s="5"/>
      <x:c r="F1" s="5"/>
      <x:c r="G1" s="5"/>
      <x:c r="H1" s="5"/>
    </x:row>
    <x:row r="2">
      <x:c r="A2" s="13" t="str">
        <x:v>主要な業務フローごとに、利用画面と次の操作を整理しています。</x:v>
      </x:c>
      <x:c r="B2" s="13"/>
      <x:c r="C2" s="13"/>
      <x:c r="D2" s="13"/>
      <x:c r="E2" s="13"/>
      <x:c r="F2" s="13"/>
      <x:c r="G2" s="13"/>
      <x:c r="H2" s="13"/>
    </x:row>
    <x:row r="3">
      <x:c r="A3" s="22" t="str">
        <x:v>フローID</x:v>
      </x:c>
      <x:c r="B3" s="22" t="str">
        <x:v>利用者</x:v>
      </x:c>
      <x:c r="C3" s="22" t="str">
        <x:v>フロー名</x:v>
      </x:c>
      <x:c r="D3" s="22" t="str">
        <x:v>順序</x:v>
      </x:c>
      <x:c r="E3" s="22" t="str">
        <x:v>画面ID</x:v>
      </x:c>
      <x:c r="F3" s="22" t="str">
        <x:v>画面名</x:v>
      </x:c>
      <x:c r="G3" s="22" t="str">
        <x:v>主な操作</x:v>
      </x:c>
      <x:c r="H3" s="22" t="str">
        <x:v>次画面ID</x:v>
      </x:c>
    </x:row>
    <x:row r="4" ht="28" customHeight="1">
      <x:c r="A4" s="30" t="str">
        <x:v>FL-US-01</x:v>
      </x:c>
      <x:c r="B4" s="30" t="str">
        <x:v>ユーザー</x:v>
      </x:c>
      <x:c r="C4" s="30" t="str">
        <x:v>ユーザー登録から求人応募</x:v>
      </x:c>
      <x:c r="D4" s="30" t="n">
        <x:v>1</x:v>
      </x:c>
      <x:c r="E4" s="30" t="str">
        <x:v>SC-PB-001</x:v>
      </x:c>
      <x:c r="F4" s="30" t="str">
        <x:v>トップページ</x:v>
      </x:c>
      <x:c r="G4" s="30" t="str">
        <x:v>求人を探す</x:v>
      </x:c>
      <x:c r="H4" s="30" t="str">
        <x:v>SC-PB-007</x:v>
      </x:c>
    </x:row>
    <x:row r="5" ht="28" customHeight="1">
      <x:c r="A5" s="30" t="str">
        <x:v>FL-US-01</x:v>
      </x:c>
      <x:c r="B5" s="30" t="str">
        <x:v>ユーザー</x:v>
      </x:c>
      <x:c r="C5" s="30" t="str">
        <x:v>ユーザー登録から求人応募</x:v>
      </x:c>
      <x:c r="D5" s="30" t="n">
        <x:v>2</x:v>
      </x:c>
      <x:c r="E5" s="30" t="str">
        <x:v>SC-PB-007</x:v>
      </x:c>
      <x:c r="F5" s="30" t="str">
        <x:v>ユーザー新規登録</x:v>
      </x:c>
      <x:c r="G5" s="30" t="str">
        <x:v>アカウント登録</x:v>
      </x:c>
      <x:c r="H5" s="30" t="str">
        <x:v>SC-PB-009</x:v>
      </x:c>
    </x:row>
    <x:row r="6" ht="28" customHeight="1">
      <x:c r="A6" s="30" t="str">
        <x:v>FL-US-01</x:v>
      </x:c>
      <x:c r="B6" s="30" t="str">
        <x:v>ユーザー</x:v>
      </x:c>
      <x:c r="C6" s="30" t="str">
        <x:v>ユーザー登録から求人応募</x:v>
      </x:c>
      <x:c r="D6" s="30" t="n">
        <x:v>3</x:v>
      </x:c>
      <x:c r="E6" s="30" t="str">
        <x:v>SC-PB-009</x:v>
      </x:c>
      <x:c r="F6" s="30" t="str">
        <x:v>メール認証案内</x:v>
      </x:c>
      <x:c r="G6" s="30" t="str">
        <x:v>認証メール確認</x:v>
      </x:c>
      <x:c r="H6" s="30" t="str">
        <x:v>SC-US-003</x:v>
      </x:c>
    </x:row>
    <x:row r="7" ht="28" customHeight="1">
      <x:c r="A7" s="30" t="str">
        <x:v>FL-US-01</x:v>
      </x:c>
      <x:c r="B7" s="30" t="str">
        <x:v>ユーザー</x:v>
      </x:c>
      <x:c r="C7" s="30" t="str">
        <x:v>ユーザー登録から求人応募</x:v>
      </x:c>
      <x:c r="D7" s="30" t="n">
        <x:v>4</x:v>
      </x:c>
      <x:c r="E7" s="30" t="str">
        <x:v>SC-US-003</x:v>
      </x:c>
      <x:c r="F7" s="30" t="str">
        <x:v>基本プロフィール編集</x:v>
      </x:c>
      <x:c r="G7" s="30" t="str">
        <x:v>プロフィール入力</x:v>
      </x:c>
      <x:c r="H7" s="30" t="str">
        <x:v>SC-PB-002</x:v>
      </x:c>
    </x:row>
    <x:row r="8" ht="28" customHeight="1">
      <x:c r="A8" s="30" t="str">
        <x:v>FL-US-01</x:v>
      </x:c>
      <x:c r="B8" s="30" t="str">
        <x:v>ユーザー</x:v>
      </x:c>
      <x:c r="C8" s="30" t="str">
        <x:v>ユーザー登録から求人応募</x:v>
      </x:c>
      <x:c r="D8" s="30" t="n">
        <x:v>5</x:v>
      </x:c>
      <x:c r="E8" s="30" t="str">
        <x:v>SC-PB-002</x:v>
      </x:c>
      <x:c r="F8" s="30" t="str">
        <x:v>求人検索・一覧</x:v>
      </x:c>
      <x:c r="G8" s="30" t="str">
        <x:v>求人を検索</x:v>
      </x:c>
      <x:c r="H8" s="30" t="str">
        <x:v>SC-PB-003</x:v>
      </x:c>
    </x:row>
    <x:row r="9" ht="28" customHeight="1">
      <x:c r="A9" s="30" t="str">
        <x:v>FL-US-01</x:v>
      </x:c>
      <x:c r="B9" s="30" t="str">
        <x:v>ユーザー</x:v>
      </x:c>
      <x:c r="C9" s="30" t="str">
        <x:v>ユーザー登録から求人応募</x:v>
      </x:c>
      <x:c r="D9" s="30" t="n">
        <x:v>6</x:v>
      </x:c>
      <x:c r="E9" s="30" t="str">
        <x:v>SC-PB-003</x:v>
      </x:c>
      <x:c r="F9" s="30" t="str">
        <x:v>求人詳細</x:v>
      </x:c>
      <x:c r="G9" s="30" t="str">
        <x:v>求人条件を確認</x:v>
      </x:c>
      <x:c r="H9" s="30" t="str">
        <x:v>SC-US-010</x:v>
      </x:c>
    </x:row>
    <x:row r="10" ht="28" customHeight="1">
      <x:c r="A10" s="30" t="str">
        <x:v>FL-US-01</x:v>
      </x:c>
      <x:c r="B10" s="30" t="str">
        <x:v>ユーザー</x:v>
      </x:c>
      <x:c r="C10" s="30" t="str">
        <x:v>ユーザー登録から求人応募</x:v>
      </x:c>
      <x:c r="D10" s="30" t="n">
        <x:v>7</x:v>
      </x:c>
      <x:c r="E10" s="30" t="str">
        <x:v>SC-US-010</x:v>
      </x:c>
      <x:c r="F10" s="30" t="str">
        <x:v>求人応募確認</x:v>
      </x:c>
      <x:c r="G10" s="30" t="str">
        <x:v>応募内容を確認</x:v>
      </x:c>
      <x:c r="H10" s="30" t="str">
        <x:v>SC-US-011</x:v>
      </x:c>
    </x:row>
    <x:row r="11" ht="28" customHeight="1">
      <x:c r="A11" s="30" t="str">
        <x:v>FL-US-01</x:v>
      </x:c>
      <x:c r="B11" s="30" t="str">
        <x:v>ユーザー</x:v>
      </x:c>
      <x:c r="C11" s="30" t="str">
        <x:v>ユーザー登録から求人応募</x:v>
      </x:c>
      <x:c r="D11" s="30" t="n">
        <x:v>8</x:v>
      </x:c>
      <x:c r="E11" s="30" t="str">
        <x:v>SC-US-011</x:v>
      </x:c>
      <x:c r="F11" s="30" t="str">
        <x:v>応募完了</x:v>
      </x:c>
      <x:c r="G11" s="30" t="str">
        <x:v>応募完了・チャット作成</x:v>
      </x:c>
      <x:c r="H11" s="30" t="str">
        <x:v>SC-US-013</x:v>
      </x:c>
    </x:row>
    <x:row r="12" ht="28" customHeight="1">
      <x:c r="A12" s="30" t="str">
        <x:v>FL-US-01</x:v>
      </x:c>
      <x:c r="B12" s="30" t="str">
        <x:v>ユーザー</x:v>
      </x:c>
      <x:c r="C12" s="30" t="str">
        <x:v>ユーザー登録から求人応募</x:v>
      </x:c>
      <x:c r="D12" s="30" t="n">
        <x:v>9</x:v>
      </x:c>
      <x:c r="E12" s="30" t="str">
        <x:v>SC-US-013</x:v>
      </x:c>
      <x:c r="F12" s="30" t="str">
        <x:v>応募詳細</x:v>
      </x:c>
      <x:c r="G12" s="30" t="str">
        <x:v>選考状況を確認</x:v>
      </x:c>
      <x:c r="H12" s="30" t="str"/>
    </x:row>
    <x:row r="13" ht="28" customHeight="1">
      <x:c r="A13" s="30" t="str">
        <x:v>FL-US-02</x:v>
      </x:c>
      <x:c r="B13" s="30" t="str">
        <x:v>ユーザー</x:v>
      </x:c>
      <x:c r="C13" s="30" t="str">
        <x:v>応募前の企業問い合わせ</x:v>
      </x:c>
      <x:c r="D13" s="30" t="n">
        <x:v>1</x:v>
      </x:c>
      <x:c r="E13" s="30" t="str">
        <x:v>SC-PB-004</x:v>
      </x:c>
      <x:c r="F13" s="30" t="str">
        <x:v>企業公開プロフィール</x:v>
      </x:c>
      <x:c r="G13" s="30" t="str">
        <x:v>企業情報を確認</x:v>
      </x:c>
      <x:c r="H13" s="30" t="str">
        <x:v>SC-US-020</x:v>
      </x:c>
    </x:row>
    <x:row r="14" ht="28" customHeight="1">
      <x:c r="A14" s="30" t="str">
        <x:v>FL-US-02</x:v>
      </x:c>
      <x:c r="B14" s="30" t="str">
        <x:v>ユーザー</x:v>
      </x:c>
      <x:c r="C14" s="30" t="str">
        <x:v>応募前の企業問い合わせ</x:v>
      </x:c>
      <x:c r="D14" s="30" t="n">
        <x:v>2</x:v>
      </x:c>
      <x:c r="E14" s="30" t="str">
        <x:v>SC-US-020</x:v>
      </x:c>
      <x:c r="F14" s="30" t="str">
        <x:v>企業問い合わせ開始</x:v>
      </x:c>
      <x:c r="G14" s="30" t="str">
        <x:v>問い合わせ内容を入力</x:v>
      </x:c>
      <x:c r="H14" s="30" t="str">
        <x:v>SC-US-019</x:v>
      </x:c>
    </x:row>
    <x:row r="15" ht="28" customHeight="1">
      <x:c r="A15" s="30" t="str">
        <x:v>FL-US-02</x:v>
      </x:c>
      <x:c r="B15" s="30" t="str">
        <x:v>ユーザー</x:v>
      </x:c>
      <x:c r="C15" s="30" t="str">
        <x:v>応募前の企業問い合わせ</x:v>
      </x:c>
      <x:c r="D15" s="30" t="n">
        <x:v>3</x:v>
      </x:c>
      <x:c r="E15" s="30" t="str">
        <x:v>SC-US-019</x:v>
      </x:c>
      <x:c r="F15" s="30" t="str">
        <x:v>チャットルーム</x:v>
      </x:c>
      <x:c r="G15" s="30" t="str">
        <x:v>企業とチャット</x:v>
      </x:c>
      <x:c r="H15" s="30" t="str"/>
    </x:row>
    <x:row r="16" ht="28" customHeight="1">
      <x:c r="A16" s="30" t="str">
        <x:v>FL-CO-01</x:v>
      </x:c>
      <x:c r="B16" s="30" t="str">
        <x:v>企業</x:v>
      </x:c>
      <x:c r="C16" s="30" t="str">
        <x:v>企業登録から求人公開</x:v>
      </x:c>
      <x:c r="D16" s="30" t="n">
        <x:v>1</x:v>
      </x:c>
      <x:c r="E16" s="30" t="str">
        <x:v>SC-PB-008</x:v>
      </x:c>
      <x:c r="F16" s="30" t="str">
        <x:v>企業アカウント新規登録</x:v>
      </x:c>
      <x:c r="G16" s="30" t="str">
        <x:v>企業アカウント登録</x:v>
      </x:c>
      <x:c r="H16" s="30" t="str">
        <x:v>SC-PB-009</x:v>
      </x:c>
    </x:row>
    <x:row r="17" ht="28" customHeight="1">
      <x:c r="A17" s="30" t="str">
        <x:v>FL-CO-01</x:v>
      </x:c>
      <x:c r="B17" s="30" t="str">
        <x:v>企業</x:v>
      </x:c>
      <x:c r="C17" s="30" t="str">
        <x:v>企業登録から求人公開</x:v>
      </x:c>
      <x:c r="D17" s="30" t="n">
        <x:v>2</x:v>
      </x:c>
      <x:c r="E17" s="30" t="str">
        <x:v>SC-PB-009</x:v>
      </x:c>
      <x:c r="F17" s="30" t="str">
        <x:v>メール認証案内</x:v>
      </x:c>
      <x:c r="G17" s="30" t="str">
        <x:v>メール認証</x:v>
      </x:c>
      <x:c r="H17" s="30" t="str">
        <x:v>SC-CO-002</x:v>
      </x:c>
    </x:row>
    <x:row r="18" ht="28" customHeight="1">
      <x:c r="A18" s="30" t="str">
        <x:v>FL-CO-01</x:v>
      </x:c>
      <x:c r="B18" s="30" t="str">
        <x:v>企業</x:v>
      </x:c>
      <x:c r="C18" s="30" t="str">
        <x:v>企業登録から求人公開</x:v>
      </x:c>
      <x:c r="D18" s="30" t="n">
        <x:v>3</x:v>
      </x:c>
      <x:c r="E18" s="30" t="str">
        <x:v>SC-CO-002</x:v>
      </x:c>
      <x:c r="F18" s="30" t="str">
        <x:v>企業プロフィール編集</x:v>
      </x:c>
      <x:c r="G18" s="30" t="str">
        <x:v>企業情報を入力</x:v>
      </x:c>
      <x:c r="H18" s="30" t="str">
        <x:v>SC-CO-003</x:v>
      </x:c>
    </x:row>
    <x:row r="19" ht="28" customHeight="1">
      <x:c r="A19" s="30" t="str">
        <x:v>FL-CO-01</x:v>
      </x:c>
      <x:c r="B19" s="30" t="str">
        <x:v>企業</x:v>
      </x:c>
      <x:c r="C19" s="30" t="str">
        <x:v>企業登録から求人公開</x:v>
      </x:c>
      <x:c r="D19" s="30" t="n">
        <x:v>4</x:v>
      </x:c>
      <x:c r="E19" s="30" t="str">
        <x:v>SC-CO-003</x:v>
      </x:c>
      <x:c r="F19" s="30" t="str">
        <x:v>企業審査申請</x:v>
      </x:c>
      <x:c r="G19" s="30" t="str">
        <x:v>審査申請</x:v>
      </x:c>
      <x:c r="H19" s="30" t="str">
        <x:v>SC-CO-004</x:v>
      </x:c>
    </x:row>
    <x:row r="20" ht="28" customHeight="1">
      <x:c r="A20" s="30" t="str">
        <x:v>FL-CO-01</x:v>
      </x:c>
      <x:c r="B20" s="30" t="str">
        <x:v>企業</x:v>
      </x:c>
      <x:c r="C20" s="30" t="str">
        <x:v>企業登録から求人公開</x:v>
      </x:c>
      <x:c r="D20" s="30" t="n">
        <x:v>5</x:v>
      </x:c>
      <x:c r="E20" s="30" t="str">
        <x:v>SC-CO-004</x:v>
      </x:c>
      <x:c r="F20" s="30" t="str">
        <x:v>企業審査状況</x:v>
      </x:c>
      <x:c r="G20" s="30" t="str">
        <x:v>審査結果を確認</x:v>
      </x:c>
      <x:c r="H20" s="30" t="str">
        <x:v>SC-CO-009</x:v>
      </x:c>
    </x:row>
    <x:row r="21" ht="28" customHeight="1">
      <x:c r="A21" s="30" t="str">
        <x:v>FL-CO-01</x:v>
      </x:c>
      <x:c r="B21" s="30" t="str">
        <x:v>企業</x:v>
      </x:c>
      <x:c r="C21" s="30" t="str">
        <x:v>企業登録から求人公開</x:v>
      </x:c>
      <x:c r="D21" s="30" t="n">
        <x:v>6</x:v>
      </x:c>
      <x:c r="E21" s="30" t="str">
        <x:v>SC-CO-009</x:v>
      </x:c>
      <x:c r="F21" s="30" t="str">
        <x:v>求人新規作成・編集</x:v>
      </x:c>
      <x:c r="G21" s="30" t="str">
        <x:v>求人を作成</x:v>
      </x:c>
      <x:c r="H21" s="30" t="str">
        <x:v>SC-CO-010</x:v>
      </x:c>
    </x:row>
    <x:row r="22" ht="28" customHeight="1">
      <x:c r="A22" s="30" t="str">
        <x:v>FL-CO-01</x:v>
      </x:c>
      <x:c r="B22" s="30" t="str">
        <x:v>企業</x:v>
      </x:c>
      <x:c r="C22" s="30" t="str">
        <x:v>企業登録から求人公開</x:v>
      </x:c>
      <x:c r="D22" s="30" t="n">
        <x:v>7</x:v>
      </x:c>
      <x:c r="E22" s="30" t="str">
        <x:v>SC-CO-010</x:v>
      </x:c>
      <x:c r="F22" s="30" t="str">
        <x:v>求人プレビュー</x:v>
      </x:c>
      <x:c r="G22" s="30" t="str">
        <x:v>表示を確認</x:v>
      </x:c>
      <x:c r="H22" s="30" t="str">
        <x:v>SC-CO-011</x:v>
      </x:c>
    </x:row>
    <x:row r="23" ht="28" customHeight="1">
      <x:c r="A23" s="30" t="str">
        <x:v>FL-CO-01</x:v>
      </x:c>
      <x:c r="B23" s="30" t="str">
        <x:v>企業</x:v>
      </x:c>
      <x:c r="C23" s="30" t="str">
        <x:v>企業登録から求人公開</x:v>
      </x:c>
      <x:c r="D23" s="30" t="n">
        <x:v>8</x:v>
      </x:c>
      <x:c r="E23" s="30" t="str">
        <x:v>SC-CO-011</x:v>
      </x:c>
      <x:c r="F23" s="30" t="str">
        <x:v>求人公開確認・枠判定</x:v>
      </x:c>
      <x:c r="G23" s="30" t="str">
        <x:v>公開枠・料金を確認して公開</x:v>
      </x:c>
      <x:c r="H23" s="30" t="str"/>
    </x:row>
    <x:row r="24" ht="28" customHeight="1">
      <x:c r="A24" s="30" t="str">
        <x:v>FL-CO-02</x:v>
      </x:c>
      <x:c r="B24" s="30" t="str">
        <x:v>企業</x:v>
      </x:c>
      <x:c r="C24" s="30" t="str">
        <x:v>応募受付から採用決定</x:v>
      </x:c>
      <x:c r="D24" s="30" t="n">
        <x:v>1</x:v>
      </x:c>
      <x:c r="E24" s="30" t="str">
        <x:v>SC-CO-014</x:v>
      </x:c>
      <x:c r="F24" s="30" t="str">
        <x:v>応募者一覧</x:v>
      </x:c>
      <x:c r="G24" s="30" t="str">
        <x:v>応募者を確認</x:v>
      </x:c>
      <x:c r="H24" s="30" t="str">
        <x:v>SC-CO-015</x:v>
      </x:c>
    </x:row>
    <x:row r="25" ht="28" customHeight="1">
      <x:c r="A25" s="30" t="str">
        <x:v>FL-CO-02</x:v>
      </x:c>
      <x:c r="B25" s="30" t="str">
        <x:v>企業</x:v>
      </x:c>
      <x:c r="C25" s="30" t="str">
        <x:v>応募受付から採用決定</x:v>
      </x:c>
      <x:c r="D25" s="30" t="n">
        <x:v>2</x:v>
      </x:c>
      <x:c r="E25" s="30" t="str">
        <x:v>SC-CO-015</x:v>
      </x:c>
      <x:c r="F25" s="30" t="str">
        <x:v>応募者詳細</x:v>
      </x:c>
      <x:c r="G25" s="30" t="str">
        <x:v>プロフィール・評価を確認</x:v>
      </x:c>
      <x:c r="H25" s="30" t="str">
        <x:v>SC-CO-021</x:v>
      </x:c>
    </x:row>
    <x:row r="26" ht="28" customHeight="1">
      <x:c r="A26" s="30" t="str">
        <x:v>FL-CO-02</x:v>
      </x:c>
      <x:c r="B26" s="30" t="str">
        <x:v>企業</x:v>
      </x:c>
      <x:c r="C26" s="30" t="str">
        <x:v>応募受付から採用決定</x:v>
      </x:c>
      <x:c r="D26" s="30" t="n">
        <x:v>3</x:v>
      </x:c>
      <x:c r="E26" s="30" t="str">
        <x:v>SC-CO-021</x:v>
      </x:c>
      <x:c r="F26" s="30" t="str">
        <x:v>企業チャットルーム</x:v>
      </x:c>
      <x:c r="G26" s="30" t="str">
        <x:v>応募者とチャット</x:v>
      </x:c>
      <x:c r="H26" s="30" t="str">
        <x:v>SC-CO-016</x:v>
      </x:c>
    </x:row>
    <x:row r="27" ht="28" customHeight="1">
      <x:c r="A27" s="30" t="str">
        <x:v>FL-CO-02</x:v>
      </x:c>
      <x:c r="B27" s="30" t="str">
        <x:v>企業</x:v>
      </x:c>
      <x:c r="C27" s="30" t="str">
        <x:v>応募受付から採用決定</x:v>
      </x:c>
      <x:c r="D27" s="30" t="n">
        <x:v>4</x:v>
      </x:c>
      <x:c r="E27" s="30" t="str">
        <x:v>SC-CO-016</x:v>
      </x:c>
      <x:c r="F27" s="30" t="str">
        <x:v>選考ステータス変更</x:v>
      </x:c>
      <x:c r="G27" s="30" t="str">
        <x:v>選考状態を更新</x:v>
      </x:c>
      <x:c r="H27" s="30" t="str">
        <x:v>SC-CO-017</x:v>
      </x:c>
    </x:row>
    <x:row r="28" ht="28" customHeight="1">
      <x:c r="A28" s="30" t="str">
        <x:v>FL-CO-02</x:v>
      </x:c>
      <x:c r="B28" s="30" t="str">
        <x:v>企業</x:v>
      </x:c>
      <x:c r="C28" s="30" t="str">
        <x:v>応募受付から採用決定</x:v>
      </x:c>
      <x:c r="D28" s="30" t="n">
        <x:v>5</x:v>
      </x:c>
      <x:c r="E28" s="30" t="str">
        <x:v>SC-CO-017</x:v>
      </x:c>
      <x:c r="F28" s="30" t="str">
        <x:v>面接日程調整</x:v>
      </x:c>
      <x:c r="G28" s="30" t="str">
        <x:v>面接を調整</x:v>
      </x:c>
      <x:c r="H28" s="30" t="str">
        <x:v>SC-CO-018</x:v>
      </x:c>
    </x:row>
    <x:row r="29" ht="28" customHeight="1">
      <x:c r="A29" s="30" t="str">
        <x:v>FL-CO-02</x:v>
      </x:c>
      <x:c r="B29" s="30" t="str">
        <x:v>企業</x:v>
      </x:c>
      <x:c r="C29" s="30" t="str">
        <x:v>応募受付から採用決定</x:v>
      </x:c>
      <x:c r="D29" s="30" t="n">
        <x:v>6</x:v>
      </x:c>
      <x:c r="E29" s="30" t="str">
        <x:v>SC-CO-018</x:v>
      </x:c>
      <x:c r="F29" s="30" t="str">
        <x:v>内定通知作成</x:v>
      </x:c>
      <x:c r="G29" s="30" t="str">
        <x:v>内定条件を通知</x:v>
      </x:c>
      <x:c r="H29" s="30" t="str">
        <x:v>SC-CO-016</x:v>
      </x:c>
    </x:row>
    <x:row r="30" ht="28" customHeight="1">
      <x:c r="A30" s="30" t="str">
        <x:v>FL-CO-02</x:v>
      </x:c>
      <x:c r="B30" s="30" t="str">
        <x:v>企業</x:v>
      </x:c>
      <x:c r="C30" s="30" t="str">
        <x:v>応募受付から採用決定</x:v>
      </x:c>
      <x:c r="D30" s="30" t="n">
        <x:v>7</x:v>
      </x:c>
      <x:c r="E30" s="30" t="str">
        <x:v>SC-CO-016</x:v>
      </x:c>
      <x:c r="F30" s="30" t="str">
        <x:v>選考ステータス変更</x:v>
      </x:c>
      <x:c r="G30" s="30" t="str">
        <x:v>採用済みに変更</x:v>
      </x:c>
      <x:c r="H30" s="30" t="str"/>
    </x:row>
    <x:row r="31" ht="28" customHeight="1">
      <x:c r="A31" s="30" t="str">
        <x:v>FL-RV-01</x:v>
      </x:c>
      <x:c r="B31" s="30" t="str">
        <x:v>企業・ユーザー</x:v>
      </x:c>
      <x:c r="C31" s="30" t="str">
        <x:v>相互評価</x:v>
      </x:c>
      <x:c r="D31" s="30" t="n">
        <x:v>1</x:v>
      </x:c>
      <x:c r="E31" s="30" t="str">
        <x:v>SC-US-021</x:v>
      </x:c>
      <x:c r="F31" s="30" t="str">
        <x:v>評価対象一覧</x:v>
      </x:c>
      <x:c r="G31" s="30" t="str">
        <x:v>評価対象と期限を確認</x:v>
      </x:c>
      <x:c r="H31" s="30" t="str">
        <x:v>SC-US-022</x:v>
      </x:c>
    </x:row>
    <x:row r="32" ht="28" customHeight="1">
      <x:c r="A32" s="30" t="str">
        <x:v>FL-RV-01</x:v>
      </x:c>
      <x:c r="B32" s="30" t="str">
        <x:v>企業・ユーザー</x:v>
      </x:c>
      <x:c r="C32" s="30" t="str">
        <x:v>相互評価</x:v>
      </x:c>
      <x:c r="D32" s="30" t="n">
        <x:v>2</x:v>
      </x:c>
      <x:c r="E32" s="30" t="str">
        <x:v>SC-US-022</x:v>
      </x:c>
      <x:c r="F32" s="30" t="str">
        <x:v>企業評価入力</x:v>
      </x:c>
      <x:c r="G32" s="30" t="str">
        <x:v>企業評価を入力</x:v>
      </x:c>
      <x:c r="H32" s="30" t="str">
        <x:v>SC-US-023</x:v>
      </x:c>
    </x:row>
    <x:row r="33" ht="28" customHeight="1">
      <x:c r="A33" s="30" t="str">
        <x:v>FL-RV-01</x:v>
      </x:c>
      <x:c r="B33" s="30" t="str">
        <x:v>企業・ユーザー</x:v>
      </x:c>
      <x:c r="C33" s="30" t="str">
        <x:v>相互評価</x:v>
      </x:c>
      <x:c r="D33" s="30" t="n">
        <x:v>3</x:v>
      </x:c>
      <x:c r="E33" s="30" t="str">
        <x:v>SC-US-023</x:v>
      </x:c>
      <x:c r="F33" s="30" t="str">
        <x:v>企業評価確認</x:v>
      </x:c>
      <x:c r="G33" s="30" t="str">
        <x:v>内容を確認・確定</x:v>
      </x:c>
      <x:c r="H33" s="30" t="str">
        <x:v>SC-CO-022</x:v>
      </x:c>
    </x:row>
    <x:row r="34" ht="28" customHeight="1">
      <x:c r="A34" s="30" t="str">
        <x:v>FL-RV-01</x:v>
      </x:c>
      <x:c r="B34" s="30" t="str">
        <x:v>企業・ユーザー</x:v>
      </x:c>
      <x:c r="C34" s="30" t="str">
        <x:v>相互評価</x:v>
      </x:c>
      <x:c r="D34" s="30" t="n">
        <x:v>4</x:v>
      </x:c>
      <x:c r="E34" s="30" t="str">
        <x:v>SC-CO-022</x:v>
      </x:c>
      <x:c r="F34" s="30" t="str">
        <x:v>ユーザー評価対象一覧</x:v>
      </x:c>
      <x:c r="G34" s="30" t="str">
        <x:v>企業側の評価対象を確認</x:v>
      </x:c>
      <x:c r="H34" s="30" t="str">
        <x:v>SC-CO-023</x:v>
      </x:c>
    </x:row>
    <x:row r="35" ht="28" customHeight="1">
      <x:c r="A35" s="30" t="str">
        <x:v>FL-RV-01</x:v>
      </x:c>
      <x:c r="B35" s="30" t="str">
        <x:v>企業・ユーザー</x:v>
      </x:c>
      <x:c r="C35" s="30" t="str">
        <x:v>相互評価</x:v>
      </x:c>
      <x:c r="D35" s="30" t="n">
        <x:v>5</x:v>
      </x:c>
      <x:c r="E35" s="30" t="str">
        <x:v>SC-CO-023</x:v>
      </x:c>
      <x:c r="F35" s="30" t="str">
        <x:v>ユーザー評価入力</x:v>
      </x:c>
      <x:c r="G35" s="30" t="str">
        <x:v>ユーザー評価を入力</x:v>
      </x:c>
      <x:c r="H35" s="30" t="str">
        <x:v>SC-CO-024</x:v>
      </x:c>
    </x:row>
    <x:row r="36" ht="28" customHeight="1">
      <x:c r="A36" s="30" t="str">
        <x:v>FL-RV-01</x:v>
      </x:c>
      <x:c r="B36" s="30" t="str">
        <x:v>企業・ユーザー</x:v>
      </x:c>
      <x:c r="C36" s="30" t="str">
        <x:v>相互評価</x:v>
      </x:c>
      <x:c r="D36" s="30" t="n">
        <x:v>6</x:v>
      </x:c>
      <x:c r="E36" s="30" t="str">
        <x:v>SC-CO-024</x:v>
      </x:c>
      <x:c r="F36" s="30" t="str">
        <x:v>ユーザー評価確認・確定</x:v>
      </x:c>
      <x:c r="G36" s="30" t="str">
        <x:v>内容を確認・確定</x:v>
      </x:c>
      <x:c r="H36" s="30" t="str">
        <x:v>SC-PB-005</x:v>
      </x:c>
    </x:row>
    <x:row r="37" ht="28" customHeight="1">
      <x:c r="A37" s="30" t="str">
        <x:v>FL-RV-01</x:v>
      </x:c>
      <x:c r="B37" s="30" t="str">
        <x:v>企業・ユーザー</x:v>
      </x:c>
      <x:c r="C37" s="30" t="str">
        <x:v>相互評価</x:v>
      </x:c>
      <x:c r="D37" s="30" t="n">
        <x:v>7</x:v>
      </x:c>
      <x:c r="E37" s="30" t="str">
        <x:v>SC-PB-005</x:v>
      </x:c>
      <x:c r="F37" s="30" t="str">
        <x:v>企業評価一覧</x:v>
      </x:c>
      <x:c r="G37" s="30" t="str">
        <x:v>双方完了または期限後に公開</x:v>
      </x:c>
      <x:c r="H37" s="30" t="str"/>
    </x:row>
    <x:row r="38" ht="28" customHeight="1">
      <x:c r="A38" s="30" t="str">
        <x:v>FL-PL-01</x:v>
      </x:c>
      <x:c r="B38" s="30" t="str">
        <x:v>企業</x:v>
      </x:c>
      <x:c r="C38" s="30" t="str">
        <x:v>3件目の求人公開と有料化</x:v>
      </x:c>
      <x:c r="D38" s="30" t="n">
        <x:v>1</x:v>
      </x:c>
      <x:c r="E38" s="30" t="str">
        <x:v>SC-CO-008</x:v>
      </x:c>
      <x:c r="F38" s="30" t="str">
        <x:v>求人一覧</x:v>
      </x:c>
      <x:c r="G38" s="30" t="str">
        <x:v>公開求人件数を確認</x:v>
      </x:c>
      <x:c r="H38" s="30" t="str">
        <x:v>SC-CO-009</x:v>
      </x:c>
    </x:row>
    <x:row r="39" ht="28" customHeight="1">
      <x:c r="A39" s="30" t="str">
        <x:v>FL-PL-01</x:v>
      </x:c>
      <x:c r="B39" s="30" t="str">
        <x:v>企業</x:v>
      </x:c>
      <x:c r="C39" s="30" t="str">
        <x:v>3件目の求人公開と有料化</x:v>
      </x:c>
      <x:c r="D39" s="30" t="n">
        <x:v>2</x:v>
      </x:c>
      <x:c r="E39" s="30" t="str">
        <x:v>SC-CO-009</x:v>
      </x:c>
      <x:c r="F39" s="30" t="str">
        <x:v>求人新規作成・編集</x:v>
      </x:c>
      <x:c r="G39" s="30" t="str">
        <x:v>3件目の求人を作成</x:v>
      </x:c>
      <x:c r="H39" s="30" t="str">
        <x:v>SC-CO-011</x:v>
      </x:c>
    </x:row>
    <x:row r="40" ht="28" customHeight="1">
      <x:c r="A40" s="30" t="str">
        <x:v>FL-PL-01</x:v>
      </x:c>
      <x:c r="B40" s="30" t="str">
        <x:v>企業</x:v>
      </x:c>
      <x:c r="C40" s="30" t="str">
        <x:v>3件目の求人公開と有料化</x:v>
      </x:c>
      <x:c r="D40" s="30" t="n">
        <x:v>3</x:v>
      </x:c>
      <x:c r="E40" s="30" t="str">
        <x:v>SC-CO-011</x:v>
      </x:c>
      <x:c r="F40" s="30" t="str">
        <x:v>求人公開確認・枠判定</x:v>
      </x:c>
      <x:c r="G40" s="30" t="str">
        <x:v>上限超過と料金見込みを確認</x:v>
      </x:c>
      <x:c r="H40" s="30" t="str">
        <x:v>SC-CO-042</x:v>
      </x:c>
    </x:row>
    <x:row r="41" ht="28" customHeight="1">
      <x:c r="A41" s="30" t="str">
        <x:v>FL-PL-01</x:v>
      </x:c>
      <x:c r="B41" s="30" t="str">
        <x:v>企業</x:v>
      </x:c>
      <x:c r="C41" s="30" t="str">
        <x:v>3件目の求人公開と有料化</x:v>
      </x:c>
      <x:c r="D41" s="30" t="n">
        <x:v>4</x:v>
      </x:c>
      <x:c r="E41" s="30" t="str">
        <x:v>SC-CO-042</x:v>
      </x:c>
      <x:c r="F41" s="30" t="str">
        <x:v>プラン・利用状況</x:v>
      </x:c>
      <x:c r="G41" s="30" t="str">
        <x:v>プラン・料金を確認</x:v>
      </x:c>
      <x:c r="H41" s="30" t="str">
        <x:v>SC-CO-043</x:v>
      </x:c>
    </x:row>
    <x:row r="42" ht="28" customHeight="1">
      <x:c r="A42" s="30" t="str">
        <x:v>FL-PL-01</x:v>
      </x:c>
      <x:c r="B42" s="30" t="str">
        <x:v>企業</x:v>
      </x:c>
      <x:c r="C42" s="30" t="str">
        <x:v>3件目の求人公開と有料化</x:v>
      </x:c>
      <x:c r="D42" s="30" t="n">
        <x:v>5</x:v>
      </x:c>
      <x:c r="E42" s="30" t="str">
        <x:v>SC-CO-043</x:v>
      </x:c>
      <x:c r="F42" s="30" t="str">
        <x:v>決済方法・請求履歴</x:v>
      </x:c>
      <x:c r="G42" s="30" t="str">
        <x:v>決済方法を登録</x:v>
      </x:c>
      <x:c r="H42" s="30" t="str">
        <x:v>SC-CO-011</x:v>
      </x:c>
    </x:row>
    <x:row r="43" ht="28" customHeight="1">
      <x:c r="A43" s="30" t="str">
        <x:v>FL-PL-01</x:v>
      </x:c>
      <x:c r="B43" s="30" t="str">
        <x:v>企業</x:v>
      </x:c>
      <x:c r="C43" s="30" t="str">
        <x:v>3件目の求人公開と有料化</x:v>
      </x:c>
      <x:c r="D43" s="30" t="n">
        <x:v>6</x:v>
      </x:c>
      <x:c r="E43" s="30" t="str">
        <x:v>SC-CO-011</x:v>
      </x:c>
      <x:c r="F43" s="30" t="str">
        <x:v>求人公開確認・枠判定</x:v>
      </x:c>
      <x:c r="G43" s="30" t="str">
        <x:v>求人を公開</x:v>
      </x:c>
      <x:c r="H43" s="30" t="str"/>
    </x:row>
    <x:row r="44" ht="28" customHeight="1">
      <x:c r="A44" s="30" t="str">
        <x:v>FL-EM-01</x:v>
      </x:c>
      <x:c r="B44" s="30" t="str">
        <x:v>企業</x:v>
      </x:c>
      <x:c r="C44" s="30" t="str">
        <x:v>採用者の従業員登録</x:v>
      </x:c>
      <x:c r="D44" s="30" t="n">
        <x:v>1</x:v>
      </x:c>
      <x:c r="E44" s="30" t="str">
        <x:v>SC-CO-015</x:v>
      </x:c>
      <x:c r="F44" s="30" t="str">
        <x:v>応募者詳細</x:v>
      </x:c>
      <x:c r="G44" s="30" t="str">
        <x:v>採用者情報を確認</x:v>
      </x:c>
      <x:c r="H44" s="30" t="str">
        <x:v>SC-CO-027</x:v>
      </x:c>
    </x:row>
    <x:row r="45" ht="28" customHeight="1">
      <x:c r="A45" s="30" t="str">
        <x:v>FL-EM-01</x:v>
      </x:c>
      <x:c r="B45" s="30" t="str">
        <x:v>企業</x:v>
      </x:c>
      <x:c r="C45" s="30" t="str">
        <x:v>採用者の従業員登録</x:v>
      </x:c>
      <x:c r="D45" s="30" t="n">
        <x:v>2</x:v>
      </x:c>
      <x:c r="E45" s="30" t="str">
        <x:v>SC-CO-027</x:v>
      </x:c>
      <x:c r="F45" s="30" t="str">
        <x:v>採用者の従業員登録</x:v>
      </x:c>
      <x:c r="G45" s="30" t="str">
        <x:v>従業員として登録</x:v>
      </x:c>
      <x:c r="H45" s="30" t="str">
        <x:v>SC-CO-031</x:v>
      </x:c>
    </x:row>
    <x:row r="46" ht="28" customHeight="1">
      <x:c r="A46" s="30" t="str">
        <x:v>FL-EM-01</x:v>
      </x:c>
      <x:c r="B46" s="30" t="str">
        <x:v>企業</x:v>
      </x:c>
      <x:c r="C46" s="30" t="str">
        <x:v>採用者の従業員登録</x:v>
      </x:c>
      <x:c r="D46" s="30" t="n">
        <x:v>3</x:v>
      </x:c>
      <x:c r="E46" s="30" t="str">
        <x:v>SC-CO-031</x:v>
      </x:c>
      <x:c r="F46" s="30" t="str">
        <x:v>雇用契約管理</x:v>
      </x:c>
      <x:c r="G46" s="30" t="str">
        <x:v>雇用契約を登録</x:v>
      </x:c>
      <x:c r="H46" s="30" t="str">
        <x:v>SC-CO-030</x:v>
      </x:c>
    </x:row>
    <x:row r="47" ht="28" customHeight="1">
      <x:c r="A47" s="30" t="str">
        <x:v>FL-EM-01</x:v>
      </x:c>
      <x:c r="B47" s="30" t="str">
        <x:v>企業</x:v>
      </x:c>
      <x:c r="C47" s="30" t="str">
        <x:v>採用者の従業員登録</x:v>
      </x:c>
      <x:c r="D47" s="30" t="n">
        <x:v>4</x:v>
      </x:c>
      <x:c r="E47" s="30" t="str">
        <x:v>SC-CO-030</x:v>
      </x:c>
      <x:c r="F47" s="30" t="str">
        <x:v>部署・所属管理</x:v>
      </x:c>
      <x:c r="G47" s="30" t="str">
        <x:v>部署・所属を設定</x:v>
      </x:c>
      <x:c r="H47" s="30" t="str">
        <x:v>SC-CO-029</x:v>
      </x:c>
    </x:row>
    <x:row r="48" ht="28" customHeight="1">
      <x:c r="A48" s="30" t="str">
        <x:v>FL-EM-01</x:v>
      </x:c>
      <x:c r="B48" s="30" t="str">
        <x:v>企業</x:v>
      </x:c>
      <x:c r="C48" s="30" t="str">
        <x:v>採用者の従業員登録</x:v>
      </x:c>
      <x:c r="D48" s="30" t="n">
        <x:v>5</x:v>
      </x:c>
      <x:c r="E48" s="30" t="str">
        <x:v>SC-CO-029</x:v>
      </x:c>
      <x:c r="F48" s="30" t="str">
        <x:v>従業員詳細</x:v>
      </x:c>
      <x:c r="G48" s="30" t="str">
        <x:v>従業員情報を確認</x:v>
      </x:c>
      <x:c r="H48" s="30" t="str"/>
    </x:row>
    <x:row r="49" ht="28" customHeight="1">
      <x:c r="A49" s="30" t="str">
        <x:v>FL-AT-01</x:v>
      </x:c>
      <x:c r="B49" s="30" t="str">
        <x:v>従業員・企業</x:v>
      </x:c>
      <x:c r="C49" s="30" t="str">
        <x:v>勤怠打刻から月次締め</x:v>
      </x:c>
      <x:c r="D49" s="30" t="n">
        <x:v>1</x:v>
      </x:c>
      <x:c r="E49" s="30" t="str">
        <x:v>SC-US-030</x:v>
      </x:c>
      <x:c r="F49" s="30" t="str">
        <x:v>打刻ホーム</x:v>
      </x:c>
      <x:c r="G49" s="30" t="str">
        <x:v>出勤・休憩・退勤を打刻</x:v>
      </x:c>
      <x:c r="H49" s="30" t="str">
        <x:v>SC-US-031</x:v>
      </x:c>
    </x:row>
    <x:row r="50" ht="28" customHeight="1">
      <x:c r="A50" s="30" t="str">
        <x:v>FL-AT-01</x:v>
      </x:c>
      <x:c r="B50" s="30" t="str">
        <x:v>従業員・企業</x:v>
      </x:c>
      <x:c r="C50" s="30" t="str">
        <x:v>勤怠打刻から月次締め</x:v>
      </x:c>
      <x:c r="D50" s="30" t="n">
        <x:v>2</x:v>
      </x:c>
      <x:c r="E50" s="30" t="str">
        <x:v>SC-US-031</x:v>
      </x:c>
      <x:c r="F50" s="30" t="str">
        <x:v>自分の勤怠履歴</x:v>
      </x:c>
      <x:c r="G50" s="30" t="str">
        <x:v>勤務記録を確認</x:v>
      </x:c>
      <x:c r="H50" s="30" t="str">
        <x:v>SC-US-034</x:v>
      </x:c>
    </x:row>
    <x:row r="51" ht="28" customHeight="1">
      <x:c r="A51" s="30" t="str">
        <x:v>FL-AT-01</x:v>
      </x:c>
      <x:c r="B51" s="30" t="str">
        <x:v>従業員・企業</x:v>
      </x:c>
      <x:c r="C51" s="30" t="str">
        <x:v>勤怠打刻から月次締め</x:v>
      </x:c>
      <x:c r="D51" s="30" t="n">
        <x:v>3</x:v>
      </x:c>
      <x:c r="E51" s="30" t="str">
        <x:v>SC-US-034</x:v>
      </x:c>
      <x:c r="F51" s="30" t="str">
        <x:v>勤怠修正申請</x:v>
      </x:c>
      <x:c r="G51" s="30" t="str">
        <x:v>必要に応じて修正申請</x:v>
      </x:c>
      <x:c r="H51" s="30" t="str">
        <x:v>SC-CO-038</x:v>
      </x:c>
    </x:row>
    <x:row r="52" ht="28" customHeight="1">
      <x:c r="A52" s="30" t="str">
        <x:v>FL-AT-01</x:v>
      </x:c>
      <x:c r="B52" s="30" t="str">
        <x:v>従業員・企業</x:v>
      </x:c>
      <x:c r="C52" s="30" t="str">
        <x:v>勤怠打刻から月次締め</x:v>
      </x:c>
      <x:c r="D52" s="30" t="n">
        <x:v>4</x:v>
      </x:c>
      <x:c r="E52" s="30" t="str">
        <x:v>SC-CO-038</x:v>
      </x:c>
      <x:c r="F52" s="30" t="str">
        <x:v>勤怠修正申請承認</x:v>
      </x:c>
      <x:c r="G52" s="30" t="str">
        <x:v>管理者が承認</x:v>
      </x:c>
      <x:c r="H52" s="30" t="str">
        <x:v>SC-CO-035</x:v>
      </x:c>
    </x:row>
    <x:row r="53" ht="28" customHeight="1">
      <x:c r="A53" s="30" t="str">
        <x:v>FL-AT-01</x:v>
      </x:c>
      <x:c r="B53" s="30" t="str">
        <x:v>従業員・企業</x:v>
      </x:c>
      <x:c r="C53" s="30" t="str">
        <x:v>勤怠打刻から月次締め</x:v>
      </x:c>
      <x:c r="D53" s="30" t="n">
        <x:v>5</x:v>
      </x:c>
      <x:c r="E53" s="30" t="str">
        <x:v>SC-CO-035</x:v>
      </x:c>
      <x:c r="F53" s="30" t="str">
        <x:v>日別勤怠一覧</x:v>
      </x:c>
      <x:c r="G53" s="30" t="str">
        <x:v>日別勤怠を確認</x:v>
      </x:c>
      <x:c r="H53" s="30" t="str">
        <x:v>SC-CO-039</x:v>
      </x:c>
    </x:row>
    <x:row r="54" ht="28" customHeight="1">
      <x:c r="A54" s="30" t="str">
        <x:v>FL-AT-01</x:v>
      </x:c>
      <x:c r="B54" s="30" t="str">
        <x:v>従業員・企業</x:v>
      </x:c>
      <x:c r="C54" s="30" t="str">
        <x:v>勤怠打刻から月次締め</x:v>
      </x:c>
      <x:c r="D54" s="30" t="n">
        <x:v>6</x:v>
      </x:c>
      <x:c r="E54" s="30" t="str">
        <x:v>SC-CO-039</x:v>
      </x:c>
      <x:c r="F54" s="30" t="str">
        <x:v>月次勤怠締め</x:v>
      </x:c>
      <x:c r="G54" s="30" t="str">
        <x:v>月次勤怠を締める</x:v>
      </x:c>
      <x:c r="H54" s="30" t="str">
        <x:v>SC-CO-040</x:v>
      </x:c>
    </x:row>
    <x:row r="55" ht="28" customHeight="1">
      <x:c r="A55" s="30" t="str">
        <x:v>FL-AT-01</x:v>
      </x:c>
      <x:c r="B55" s="30" t="str">
        <x:v>従業員・企業</x:v>
      </x:c>
      <x:c r="C55" s="30" t="str">
        <x:v>勤怠打刻から月次締め</x:v>
      </x:c>
      <x:c r="D55" s="30" t="n">
        <x:v>7</x:v>
      </x:c>
      <x:c r="E55" s="30" t="str">
        <x:v>SC-CO-040</x:v>
      </x:c>
      <x:c r="F55" s="30" t="str">
        <x:v>勤怠データ出力</x:v>
      </x:c>
      <x:c r="G55" s="30" t="str">
        <x:v>給与計算用データを出力</x:v>
      </x:c>
      <x:c r="H55" s="30" t="str"/>
    </x:row>
    <x:row r="56" ht="28" customHeight="1">
      <x:c r="A56" s="30" t="str">
        <x:v>FL-AD-01</x:v>
      </x:c>
      <x:c r="B56" s="30" t="str">
        <x:v>運営</x:v>
      </x:c>
      <x:c r="C56" s="30" t="str">
        <x:v>企業・求人審査</x:v>
      </x:c>
      <x:c r="D56" s="30" t="n">
        <x:v>1</x:v>
      </x:c>
      <x:c r="E56" s="30" t="str">
        <x:v>SC-AD-002</x:v>
      </x:c>
      <x:c r="F56" s="30" t="str">
        <x:v>運営ダッシュボード</x:v>
      </x:c>
      <x:c r="G56" s="30" t="str">
        <x:v>審査待ち件数を確認</x:v>
      </x:c>
      <x:c r="H56" s="30" t="str">
        <x:v>SC-AD-003</x:v>
      </x:c>
    </x:row>
    <x:row r="57" ht="28" customHeight="1">
      <x:c r="A57" s="30" t="str">
        <x:v>FL-AD-01</x:v>
      </x:c>
      <x:c r="B57" s="30" t="str">
        <x:v>運営</x:v>
      </x:c>
      <x:c r="C57" s="30" t="str">
        <x:v>企業・求人審査</x:v>
      </x:c>
      <x:c r="D57" s="30" t="n">
        <x:v>2</x:v>
      </x:c>
      <x:c r="E57" s="30" t="str">
        <x:v>SC-AD-003</x:v>
      </x:c>
      <x:c r="F57" s="30" t="str">
        <x:v>企業審査一覧</x:v>
      </x:c>
      <x:c r="G57" s="30" t="str">
        <x:v>企業審査対象を検索</x:v>
      </x:c>
      <x:c r="H57" s="30" t="str">
        <x:v>SC-AD-004</x:v>
      </x:c>
    </x:row>
    <x:row r="58" ht="28" customHeight="1">
      <x:c r="A58" s="30" t="str">
        <x:v>FL-AD-01</x:v>
      </x:c>
      <x:c r="B58" s="30" t="str">
        <x:v>運営</x:v>
      </x:c>
      <x:c r="C58" s="30" t="str">
        <x:v>企業・求人審査</x:v>
      </x:c>
      <x:c r="D58" s="30" t="n">
        <x:v>3</x:v>
      </x:c>
      <x:c r="E58" s="30" t="str">
        <x:v>SC-AD-004</x:v>
      </x:c>
      <x:c r="F58" s="30" t="str">
        <x:v>企業審査詳細</x:v>
      </x:c>
      <x:c r="G58" s="30" t="str">
        <x:v>企業を承認・差戻し</x:v>
      </x:c>
      <x:c r="H58" s="30" t="str">
        <x:v>SC-AD-005</x:v>
      </x:c>
    </x:row>
    <x:row r="59" ht="28" customHeight="1">
      <x:c r="A59" s="30" t="str">
        <x:v>FL-AD-01</x:v>
      </x:c>
      <x:c r="B59" s="30" t="str">
        <x:v>運営</x:v>
      </x:c>
      <x:c r="C59" s="30" t="str">
        <x:v>企業・求人審査</x:v>
      </x:c>
      <x:c r="D59" s="30" t="n">
        <x:v>4</x:v>
      </x:c>
      <x:c r="E59" s="30" t="str">
        <x:v>SC-AD-005</x:v>
      </x:c>
      <x:c r="F59" s="30" t="str">
        <x:v>求人審査一覧</x:v>
      </x:c>
      <x:c r="G59" s="30" t="str">
        <x:v>求人審査対象を検索</x:v>
      </x:c>
      <x:c r="H59" s="30" t="str">
        <x:v>SC-AD-006</x:v>
      </x:c>
    </x:row>
    <x:row r="60" ht="28" customHeight="1">
      <x:c r="A60" s="30" t="str">
        <x:v>FL-AD-01</x:v>
      </x:c>
      <x:c r="B60" s="30" t="str">
        <x:v>運営</x:v>
      </x:c>
      <x:c r="C60" s="30" t="str">
        <x:v>企業・求人審査</x:v>
      </x:c>
      <x:c r="D60" s="30" t="n">
        <x:v>5</x:v>
      </x:c>
      <x:c r="E60" s="30" t="str">
        <x:v>SC-AD-006</x:v>
      </x:c>
      <x:c r="F60" s="30" t="str">
        <x:v>求人審査詳細</x:v>
      </x:c>
      <x:c r="G60" s="30" t="str">
        <x:v>求人を公開・差戻し・停止</x:v>
      </x:c>
      <x:c r="H60" s="30" t="str"/>
    </x:row>
    <x:row r="61" ht="28" customHeight="1">
      <x:c r="A61" s="30" t="str">
        <x:v>FL-AD-02</x:v>
      </x:c>
      <x:c r="B61" s="30" t="str">
        <x:v>運営</x:v>
      </x:c>
      <x:c r="C61" s="30" t="str">
        <x:v>評価通報対応</x:v>
      </x:c>
      <x:c r="D61" s="30" t="n">
        <x:v>1</x:v>
      </x:c>
      <x:c r="E61" s="30" t="str">
        <x:v>SC-AD-009</x:v>
      </x:c>
      <x:c r="F61" s="30" t="str">
        <x:v>評価・通報審査一覧</x:v>
      </x:c>
      <x:c r="G61" s="30" t="str">
        <x:v>通報・異議申立てを確認</x:v>
      </x:c>
      <x:c r="H61" s="30" t="str">
        <x:v>SC-AD-010</x:v>
      </x:c>
    </x:row>
    <x:row r="62" ht="28" customHeight="1">
      <x:c r="A62" s="30" t="str">
        <x:v>FL-AD-02</x:v>
      </x:c>
      <x:c r="B62" s="30" t="str">
        <x:v>運営</x:v>
      </x:c>
      <x:c r="C62" s="30" t="str">
        <x:v>評価通報対応</x:v>
      </x:c>
      <x:c r="D62" s="30" t="n">
        <x:v>2</x:v>
      </x:c>
      <x:c r="E62" s="30" t="str">
        <x:v>SC-AD-010</x:v>
      </x:c>
      <x:c r="F62" s="30" t="str">
        <x:v>評価・通報審査詳細</x:v>
      </x:c>
      <x:c r="G62" s="30" t="str">
        <x:v>双方の情報と根拠を確認</x:v>
      </x:c>
      <x:c r="H62" s="30" t="str">
        <x:v>SC-AD-011</x:v>
      </x:c>
    </x:row>
    <x:row r="63" ht="28" customHeight="1">
      <x:c r="A63" s="30" t="str">
        <x:v>FL-AD-02</x:v>
      </x:c>
      <x:c r="B63" s="30" t="str">
        <x:v>運営</x:v>
      </x:c>
      <x:c r="C63" s="30" t="str">
        <x:v>評価通報対応</x:v>
      </x:c>
      <x:c r="D63" s="30" t="n">
        <x:v>3</x:v>
      </x:c>
      <x:c r="E63" s="30" t="str">
        <x:v>SC-AD-011</x:v>
      </x:c>
      <x:c r="F63" s="30" t="str">
        <x:v>評価編集・対応履歴</x:v>
      </x:c>
      <x:c r="G63" s="30" t="str">
        <x:v>履歴を確認して対応を記録</x:v>
      </x:c>
      <x:c r="H63" s="30" t="str"/>
    </x:row>
    <x:row r="64" ht="28" customHeight="1">
      <x:c r="A64" s="30" t="str">
        <x:v>FL-BL-01</x:v>
      </x:c>
      <x:c r="B64" s="30" t="str">
        <x:v>運営・企業</x:v>
      </x:c>
      <x:c r="C64" s="30" t="str">
        <x:v>評価協力率による料金算定</x:v>
      </x:c>
      <x:c r="D64" s="30" t="n">
        <x:v>1</x:v>
      </x:c>
      <x:c r="E64" s="30" t="str">
        <x:v>SC-CO-025</x:v>
      </x:c>
      <x:c r="F64" s="30" t="str">
        <x:v>評価協力率・料金見込み</x:v>
      </x:c>
      <x:c r="G64" s="30" t="str">
        <x:v>企業が評価協力率と料金見込みを確認</x:v>
      </x:c>
      <x:c r="H64" s="30" t="str">
        <x:v>SC-AD-013</x:v>
      </x:c>
    </x:row>
    <x:row r="65" ht="28" customHeight="1">
      <x:c r="A65" s="30" t="str">
        <x:v>FL-BL-01</x:v>
      </x:c>
      <x:c r="B65" s="30" t="str">
        <x:v>運営・企業</x:v>
      </x:c>
      <x:c r="C65" s="30" t="str">
        <x:v>評価協力率による料金算定</x:v>
      </x:c>
      <x:c r="D65" s="30" t="n">
        <x:v>2</x:v>
      </x:c>
      <x:c r="E65" s="30" t="str">
        <x:v>SC-AD-013</x:v>
      </x:c>
      <x:c r="F65" s="30" t="str">
        <x:v>月額料金算定詳細</x:v>
      </x:c>
      <x:c r="G65" s="30" t="str">
        <x:v>運営が算定根拠を確認</x:v>
      </x:c>
      <x:c r="H65" s="30" t="str">
        <x:v>SC-AD-014</x:v>
      </x:c>
    </x:row>
    <x:row r="66" ht="28" customHeight="1">
      <x:c r="A66" s="30" t="str">
        <x:v>FL-BL-01</x:v>
      </x:c>
      <x:c r="B66" s="30" t="str">
        <x:v>運営・企業</x:v>
      </x:c>
      <x:c r="C66" s="30" t="str">
        <x:v>評価協力率による料金算定</x:v>
      </x:c>
      <x:c r="D66" s="30" t="n">
        <x:v>3</x:v>
      </x:c>
      <x:c r="E66" s="30" t="str">
        <x:v>SC-AD-014</x:v>
      </x:c>
      <x:c r="F66" s="30" t="str">
        <x:v>請求・決済管理</x:v>
      </x:c>
      <x:c r="G66" s="30" t="str">
        <x:v>請求を確定・決済管理</x:v>
      </x:c>
      <x:c r="H66" s="30" t="str">
        <x:v>SC-CO-043</x:v>
      </x:c>
    </x:row>
    <x:row r="67" ht="28" customHeight="1">
      <x:c r="A67" s="30" t="str">
        <x:v>FL-BL-01</x:v>
      </x:c>
      <x:c r="B67" s="30" t="str">
        <x:v>運営・企業</x:v>
      </x:c>
      <x:c r="C67" s="30" t="str">
        <x:v>評価協力率による料金算定</x:v>
      </x:c>
      <x:c r="D67" s="30" t="n">
        <x:v>4</x:v>
      </x:c>
      <x:c r="E67" s="30" t="str">
        <x:v>SC-CO-043</x:v>
      </x:c>
      <x:c r="F67" s="30" t="str">
        <x:v>決済方法・請求履歴</x:v>
      </x:c>
      <x:c r="G67" s="30" t="str">
        <x:v>企業が請求履歴を確認</x:v>
      </x:c>
      <x:c r="H67" s="30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43a366826944b1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1" hidden="0" customWidth="1"/>
    <x:col min="3" max="3" width="18" hidden="0" customWidth="1"/>
    <x:col min="4" max="4" width="25" hidden="0" customWidth="1"/>
    <x:col min="5" max="5" width="42" hidden="0" customWidth="1"/>
    <x:col min="6" max="6" width="16" hidden="0" customWidth="1"/>
    <x:col min="7" max="7" width="10" hidden="0" customWidth="1"/>
    <x:col min="8" max="8" width="16" hidden="0" customWidth="1"/>
    <x:col min="9" max="9" width="11" hidden="0" customWidth="1"/>
    <x:col min="10" max="10" width="12" hidden="0" customWidth="1"/>
    <x:col min="11" max="11" width="12" hidden="0" customWidth="1"/>
    <x:col min="12" max="12" width="30" hidden="0" customWidth="1"/>
  </x:cols>
  <x:sheetData>
    <x:row r="1">
      <x:c r="A1" s="5" t="str">
        <x:v>元機能一覧（参照用）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13" t="str">
        <x:v>画面一覧作成の基礎とした機能一覧95件です。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>
      <x:c r="A3" s="22" t="str">
        <x:v>No.</x:v>
      </x:c>
      <x:c r="B3" s="22" t="str">
        <x:v>大分類</x:v>
      </x:c>
      <x:c r="C3" s="22" t="str">
        <x:v>中分類</x:v>
      </x:c>
      <x:c r="D3" s="22" t="str">
        <x:v>機能名</x:v>
      </x:c>
      <x:c r="E3" s="22" t="str">
        <x:v>機能概要</x:v>
      </x:c>
      <x:c r="F3" s="22" t="str">
        <x:v>主な利用者</x:v>
      </x:c>
      <x:c r="G3" s="22" t="str">
        <x:v>初期公開</x:v>
      </x:c>
      <x:c r="H3" s="22" t="str">
        <x:v>料金区分</x:v>
      </x:c>
      <x:c r="I3" s="22" t="str">
        <x:v>優先度</x:v>
      </x:c>
      <x:c r="J3" s="22" t="str">
        <x:v>開発フェーズ</x:v>
      </x:c>
      <x:c r="K3" s="22" t="str">
        <x:v>進捗状態</x:v>
      </x:c>
      <x:c r="L3" s="22" t="str">
        <x:v>備考</x:v>
      </x:c>
    </x:row>
    <x:row r="4" ht="30" customHeight="1">
      <x:c r="A4" s="30" t="n">
        <x:v>1</x:v>
      </x:c>
      <x:c r="B4" s="30" t="str">
        <x:v>企業</x:v>
      </x:c>
      <x:c r="C4" s="30" t="str">
        <x:v>アカウント・企業情報</x:v>
      </x:c>
      <x:c r="D4" s="30" t="str">
        <x:v>企業アカウント登録</x:v>
      </x:c>
      <x:c r="E4" s="30" t="str">
        <x:v>企業担当者がメールアドレスとパスワードでアカウントを作成する</x:v>
      </x:c>
      <x:c r="F4" s="30" t="str">
        <x:v>企業</x:v>
      </x:c>
      <x:c r="G4" s="30" t="str">
        <x:v>〇</x:v>
      </x:c>
      <x:c r="H4" s="30" t="str">
        <x:v>無料</x:v>
      </x:c>
      <x:c r="I4" s="30" t="str">
        <x:v>高</x:v>
      </x:c>
      <x:c r="J4" s="30" t="str">
        <x:v>第1段階</x:v>
      </x:c>
      <x:c r="K4" s="30" t="str">
        <x:v>未着手</x:v>
      </x:c>
      <x:c r="L4" s="30" t="str">
        <x:v>本人確認・メール認証を含む</x:v>
      </x:c>
    </x:row>
    <x:row r="5" ht="30" customHeight="1">
      <x:c r="A5" s="30" t="n">
        <x:v>2</x:v>
      </x:c>
      <x:c r="B5" s="30" t="str">
        <x:v>企業</x:v>
      </x:c>
      <x:c r="C5" s="30" t="str">
        <x:v>アカウント・企業情報</x:v>
      </x:c>
      <x:c r="D5" s="30" t="str">
        <x:v>企業情報登録</x:v>
      </x:c>
      <x:c r="E5" s="30" t="str">
        <x:v>会社名、所在地、業種、代表者、連絡先などを登録する</x:v>
      </x:c>
      <x:c r="F5" s="30" t="str">
        <x:v>企業</x:v>
      </x:c>
      <x:c r="G5" s="30" t="str">
        <x:v>〇</x:v>
      </x:c>
      <x:c r="H5" s="30" t="str">
        <x:v>無料</x:v>
      </x:c>
      <x:c r="I5" s="30" t="str">
        <x:v>高</x:v>
      </x:c>
      <x:c r="J5" s="30" t="str">
        <x:v>第1段階</x:v>
      </x:c>
      <x:c r="K5" s="30" t="str">
        <x:v>未着手</x:v>
      </x:c>
      <x:c r="L5" s="30"/>
    </x:row>
    <x:row r="6" ht="30" customHeight="1">
      <x:c r="A6" s="30" t="n">
        <x:v>3</x:v>
      </x:c>
      <x:c r="B6" s="30" t="str">
        <x:v>企業</x:v>
      </x:c>
      <x:c r="C6" s="30" t="str">
        <x:v>アカウント・企業情報</x:v>
      </x:c>
      <x:c r="D6" s="30" t="str">
        <x:v>企業審査申請</x:v>
      </x:c>
      <x:c r="E6" s="30" t="str">
        <x:v>企業情報と必要書類を運営へ提出する</x:v>
      </x:c>
      <x:c r="F6" s="30" t="str">
        <x:v>企業</x:v>
      </x:c>
      <x:c r="G6" s="30" t="str">
        <x:v>〇</x:v>
      </x:c>
      <x:c r="H6" s="30" t="str">
        <x:v>無料</x:v>
      </x:c>
      <x:c r="I6" s="30" t="str">
        <x:v>高</x:v>
      </x:c>
      <x:c r="J6" s="30" t="str">
        <x:v>第1段階</x:v>
      </x:c>
      <x:c r="K6" s="30" t="str">
        <x:v>未着手</x:v>
      </x:c>
      <x:c r="L6" s="30" t="str">
        <x:v>公開前の企業確認</x:v>
      </x:c>
    </x:row>
    <x:row r="7" ht="30" customHeight="1">
      <x:c r="A7" s="30" t="n">
        <x:v>4</x:v>
      </x:c>
      <x:c r="B7" s="30" t="str">
        <x:v>企業</x:v>
      </x:c>
      <x:c r="C7" s="30" t="str">
        <x:v>アカウント・企業情報</x:v>
      </x:c>
      <x:c r="D7" s="30" t="str">
        <x:v>企業プロフィール公開</x:v>
      </x:c>
      <x:c r="E7" s="30" t="str">
        <x:v>企業概要、事業内容、福利厚生、評価を公開する</x:v>
      </x:c>
      <x:c r="F7" s="30" t="str">
        <x:v>企業・ユーザー</x:v>
      </x:c>
      <x:c r="G7" s="30" t="str">
        <x:v>〇</x:v>
      </x:c>
      <x:c r="H7" s="30" t="str">
        <x:v>無料</x:v>
      </x:c>
      <x:c r="I7" s="30" t="str">
        <x:v>高</x:v>
      </x:c>
      <x:c r="J7" s="30" t="str">
        <x:v>第1段階</x:v>
      </x:c>
      <x:c r="K7" s="30" t="str">
        <x:v>未着手</x:v>
      </x:c>
      <x:c r="L7" s="30"/>
    </x:row>
    <x:row r="8" ht="30" customHeight="1">
      <x:c r="A8" s="30" t="n">
        <x:v>5</x:v>
      </x:c>
      <x:c r="B8" s="30" t="str">
        <x:v>企業</x:v>
      </x:c>
      <x:c r="C8" s="30" t="str">
        <x:v>アカウント・企業情報</x:v>
      </x:c>
      <x:c r="D8" s="30" t="str">
        <x:v>企業担当者招待</x:v>
      </x:c>
      <x:c r="E8" s="30" t="str">
        <x:v>企業管理者が採用担当者などを招待する</x:v>
      </x:c>
      <x:c r="F8" s="30" t="str">
        <x:v>企業</x:v>
      </x:c>
      <x:c r="G8" s="30" t="str">
        <x:v>△</x:v>
      </x:c>
      <x:c r="H8" s="30" t="str">
        <x:v>制限付き無料</x:v>
      </x:c>
      <x:c r="I8" s="30" t="str">
        <x:v>中</x:v>
      </x:c>
      <x:c r="J8" s="30" t="str">
        <x:v>第2段階</x:v>
      </x:c>
      <x:c r="K8" s="30" t="str">
        <x:v>未着手</x:v>
      </x:c>
      <x:c r="L8" s="30" t="str">
        <x:v>無料プランは人数制限を想定</x:v>
      </x:c>
    </x:row>
    <x:row r="9" ht="30" customHeight="1">
      <x:c r="A9" s="30" t="n">
        <x:v>6</x:v>
      </x:c>
      <x:c r="B9" s="30" t="str">
        <x:v>企業</x:v>
      </x:c>
      <x:c r="C9" s="30" t="str">
        <x:v>権限管理</x:v>
      </x:c>
      <x:c r="D9" s="30" t="str">
        <x:v>企業ロール管理</x:v>
      </x:c>
      <x:c r="E9" s="30" t="str">
        <x:v>企業オーナー、採用担当、勤怠管理者などの権限を設定する</x:v>
      </x:c>
      <x:c r="F9" s="30" t="str">
        <x:v>企業</x:v>
      </x:c>
      <x:c r="G9" s="30" t="str">
        <x:v>△</x:v>
      </x:c>
      <x:c r="H9" s="30" t="str">
        <x:v>有料</x:v>
      </x:c>
      <x:c r="I9" s="30" t="str">
        <x:v>中</x:v>
      </x:c>
      <x:c r="J9" s="30" t="str">
        <x:v>第3段階</x:v>
      </x:c>
      <x:c r="K9" s="30" t="str">
        <x:v>未着手</x:v>
      </x:c>
      <x:c r="L9" s="30"/>
    </x:row>
    <x:row r="10" ht="30" customHeight="1">
      <x:c r="A10" s="30" t="n">
        <x:v>7</x:v>
      </x:c>
      <x:c r="B10" s="30" t="str">
        <x:v>企業</x:v>
      </x:c>
      <x:c r="C10" s="30" t="str">
        <x:v>求人掲載</x:v>
      </x:c>
      <x:c r="D10" s="30" t="str">
        <x:v>求人新規作成</x:v>
      </x:c>
      <x:c r="E10" s="30" t="str">
        <x:v>職種、仕事内容、雇用形態、給与、勤務地、条件を登録する</x:v>
      </x:c>
      <x:c r="F10" s="30" t="str">
        <x:v>企業</x:v>
      </x:c>
      <x:c r="G10" s="30" t="str">
        <x:v>〇</x:v>
      </x:c>
      <x:c r="H10" s="30" t="str">
        <x:v>制限付き無料</x:v>
      </x:c>
      <x:c r="I10" s="30" t="str">
        <x:v>最優先</x:v>
      </x:c>
      <x:c r="J10" s="30" t="str">
        <x:v>第1段階</x:v>
      </x:c>
      <x:c r="K10" s="30" t="str">
        <x:v>未着手</x:v>
      </x:c>
      <x:c r="L10" s="30" t="str">
        <x:v>同時公開2件まで無料</x:v>
      </x:c>
    </x:row>
    <x:row r="11" ht="30" customHeight="1">
      <x:c r="A11" s="30" t="n">
        <x:v>8</x:v>
      </x:c>
      <x:c r="B11" s="30" t="str">
        <x:v>企業</x:v>
      </x:c>
      <x:c r="C11" s="30" t="str">
        <x:v>求人掲載</x:v>
      </x:c>
      <x:c r="D11" s="30" t="str">
        <x:v>求人下書き保存</x:v>
      </x:c>
      <x:c r="E11" s="30" t="str">
        <x:v>公開前の求人を下書きとして保存する</x:v>
      </x:c>
      <x:c r="F11" s="30" t="str">
        <x:v>企業</x:v>
      </x:c>
      <x:c r="G11" s="30" t="str">
        <x:v>〇</x:v>
      </x:c>
      <x:c r="H11" s="30" t="str">
        <x:v>無料</x:v>
      </x:c>
      <x:c r="I11" s="30" t="str">
        <x:v>高</x:v>
      </x:c>
      <x:c r="J11" s="30" t="str">
        <x:v>第1段階</x:v>
      </x:c>
      <x:c r="K11" s="30" t="str">
        <x:v>未着手</x:v>
      </x:c>
      <x:c r="L11" s="30" t="str">
        <x:v>下書き件数は無制限</x:v>
      </x:c>
    </x:row>
    <x:row r="12" ht="30" customHeight="1">
      <x:c r="A12" s="30" t="n">
        <x:v>9</x:v>
      </x:c>
      <x:c r="B12" s="30" t="str">
        <x:v>企業</x:v>
      </x:c>
      <x:c r="C12" s="30" t="str">
        <x:v>求人掲載</x:v>
      </x:c>
      <x:c r="D12" s="30" t="str">
        <x:v>求人プレビュー</x:v>
      </x:c>
      <x:c r="E12" s="30" t="str">
        <x:v>公開前にユーザー側の表示を確認する</x:v>
      </x:c>
      <x:c r="F12" s="30" t="str">
        <x:v>企業</x:v>
      </x:c>
      <x:c r="G12" s="30" t="str">
        <x:v>〇</x:v>
      </x:c>
      <x:c r="H12" s="30" t="str">
        <x:v>無料</x:v>
      </x:c>
      <x:c r="I12" s="30" t="str">
        <x:v>中</x:v>
      </x:c>
      <x:c r="J12" s="30" t="str">
        <x:v>第1段階</x:v>
      </x:c>
      <x:c r="K12" s="30" t="str">
        <x:v>未着手</x:v>
      </x:c>
      <x:c r="L12" s="30"/>
    </x:row>
    <x:row r="13" ht="30" customHeight="1">
      <x:c r="A13" s="30" t="n">
        <x:v>10</x:v>
      </x:c>
      <x:c r="B13" s="30" t="str">
        <x:v>企業</x:v>
      </x:c>
      <x:c r="C13" s="30" t="str">
        <x:v>求人掲載</x:v>
      </x:c>
      <x:c r="D13" s="30" t="str">
        <x:v>求人公開</x:v>
      </x:c>
      <x:c r="E13" s="30" t="str">
        <x:v>審査済み求人を公開し応募を受け付ける</x:v>
      </x:c>
      <x:c r="F13" s="30" t="str">
        <x:v>企業</x:v>
      </x:c>
      <x:c r="G13" s="30" t="str">
        <x:v>〇</x:v>
      </x:c>
      <x:c r="H13" s="30" t="str">
        <x:v>制限付き無料</x:v>
      </x:c>
      <x:c r="I13" s="30" t="str">
        <x:v>最優先</x:v>
      </x:c>
      <x:c r="J13" s="30" t="str">
        <x:v>第1段階</x:v>
      </x:c>
      <x:c r="K13" s="30" t="str">
        <x:v>未着手</x:v>
      </x:c>
      <x:c r="L13" s="30" t="str">
        <x:v>3件目の同時公開から有料</x:v>
      </x:c>
    </x:row>
    <x:row r="14" ht="30" customHeight="1">
      <x:c r="A14" s="30" t="n">
        <x:v>11</x:v>
      </x:c>
      <x:c r="B14" s="30" t="str">
        <x:v>企業</x:v>
      </x:c>
      <x:c r="C14" s="30" t="str">
        <x:v>求人掲載</x:v>
      </x:c>
      <x:c r="D14" s="30" t="str">
        <x:v>求人公開予約</x:v>
      </x:c>
      <x:c r="E14" s="30" t="str">
        <x:v>指定日時に求人を自動公開する</x:v>
      </x:c>
      <x:c r="F14" s="30" t="str">
        <x:v>企業</x:v>
      </x:c>
      <x:c r="G14" s="30" t="str">
        <x:v>×</x:v>
      </x:c>
      <x:c r="H14" s="30" t="str">
        <x:v>有料</x:v>
      </x:c>
      <x:c r="I14" s="30" t="str">
        <x:v>低</x:v>
      </x:c>
      <x:c r="J14" s="30" t="str">
        <x:v>第3段階</x:v>
      </x:c>
      <x:c r="K14" s="30" t="str">
        <x:v>未着手</x:v>
      </x:c>
      <x:c r="L14" s="30"/>
    </x:row>
    <x:row r="15" ht="30" customHeight="1">
      <x:c r="A15" s="30" t="n">
        <x:v>12</x:v>
      </x:c>
      <x:c r="B15" s="30" t="str">
        <x:v>企業</x:v>
      </x:c>
      <x:c r="C15" s="30" t="str">
        <x:v>求人掲載</x:v>
      </x:c>
      <x:c r="D15" s="30" t="str">
        <x:v>求人募集停止・再開</x:v>
      </x:c>
      <x:c r="E15" s="30" t="str">
        <x:v>応募受付を一時停止し再開できる</x:v>
      </x:c>
      <x:c r="F15" s="30" t="str">
        <x:v>企業</x:v>
      </x:c>
      <x:c r="G15" s="30" t="str">
        <x:v>〇</x:v>
      </x:c>
      <x:c r="H15" s="30" t="str">
        <x:v>無料</x:v>
      </x:c>
      <x:c r="I15" s="30" t="str">
        <x:v>高</x:v>
      </x:c>
      <x:c r="J15" s="30" t="str">
        <x:v>第1段階</x:v>
      </x:c>
      <x:c r="K15" s="30" t="str">
        <x:v>未着手</x:v>
      </x:c>
      <x:c r="L15" s="30"/>
    </x:row>
    <x:row r="16" ht="30" customHeight="1">
      <x:c r="A16" s="30" t="n">
        <x:v>13</x:v>
      </x:c>
      <x:c r="B16" s="30" t="str">
        <x:v>企業</x:v>
      </x:c>
      <x:c r="C16" s="30" t="str">
        <x:v>求人掲載</x:v>
      </x:c>
      <x:c r="D16" s="30" t="str">
        <x:v>求人複製</x:v>
      </x:c>
      <x:c r="E16" s="30" t="str">
        <x:v>既存求人をコピーして新しい求人を作成する</x:v>
      </x:c>
      <x:c r="F16" s="30" t="str">
        <x:v>企業</x:v>
      </x:c>
      <x:c r="G16" s="30" t="str">
        <x:v>△</x:v>
      </x:c>
      <x:c r="H16" s="30" t="str">
        <x:v>有料</x:v>
      </x:c>
      <x:c r="I16" s="30" t="str">
        <x:v>中</x:v>
      </x:c>
      <x:c r="J16" s="30" t="str">
        <x:v>第2段階</x:v>
      </x:c>
      <x:c r="K16" s="30" t="str">
        <x:v>未着手</x:v>
      </x:c>
      <x:c r="L16" s="30"/>
    </x:row>
    <x:row r="17" ht="30" customHeight="1">
      <x:c r="A17" s="30" t="n">
        <x:v>14</x:v>
      </x:c>
      <x:c r="B17" s="30" t="str">
        <x:v>企業</x:v>
      </x:c>
      <x:c r="C17" s="30" t="str">
        <x:v>求人掲載</x:v>
      </x:c>
      <x:c r="D17" s="30" t="str">
        <x:v>掲載期限管理</x:v>
      </x:c>
      <x:c r="E17" s="30" t="str">
        <x:v>掲載終了日を設定し自動的に募集終了する</x:v>
      </x:c>
      <x:c r="F17" s="30" t="str">
        <x:v>企業</x:v>
      </x:c>
      <x:c r="G17" s="30" t="str">
        <x:v>〇</x:v>
      </x:c>
      <x:c r="H17" s="30" t="str">
        <x:v>無料</x:v>
      </x:c>
      <x:c r="I17" s="30" t="str">
        <x:v>中</x:v>
      </x:c>
      <x:c r="J17" s="30" t="str">
        <x:v>第1段階</x:v>
      </x:c>
      <x:c r="K17" s="30" t="str">
        <x:v>未着手</x:v>
      </x:c>
      <x:c r="L17" s="30"/>
    </x:row>
    <x:row r="18" ht="30" customHeight="1">
      <x:c r="A18" s="30" t="n">
        <x:v>15</x:v>
      </x:c>
      <x:c r="B18" s="30" t="str">
        <x:v>企業</x:v>
      </x:c>
      <x:c r="C18" s="30" t="str">
        <x:v>求人掲載</x:v>
      </x:c>
      <x:c r="D18" s="30" t="str">
        <x:v>求人閲覧・応募分析</x:v>
      </x:c>
      <x:c r="E18" s="30" t="str">
        <x:v>閲覧数、応募数、応募率を確認する</x:v>
      </x:c>
      <x:c r="F18" s="30" t="str">
        <x:v>企業</x:v>
      </x:c>
      <x:c r="G18" s="30" t="str">
        <x:v>×</x:v>
      </x:c>
      <x:c r="H18" s="30" t="str">
        <x:v>有料</x:v>
      </x:c>
      <x:c r="I18" s="30" t="str">
        <x:v>中</x:v>
      </x:c>
      <x:c r="J18" s="30" t="str">
        <x:v>第3段階</x:v>
      </x:c>
      <x:c r="K18" s="30" t="str">
        <x:v>未着手</x:v>
      </x:c>
      <x:c r="L18" s="30"/>
    </x:row>
    <x:row r="19" ht="30" customHeight="1">
      <x:c r="A19" s="30" t="n">
        <x:v>16</x:v>
      </x:c>
      <x:c r="B19" s="30" t="str">
        <x:v>企業</x:v>
      </x:c>
      <x:c r="C19" s="30" t="str">
        <x:v>応募・採用管理</x:v>
      </x:c>
      <x:c r="D19" s="30" t="str">
        <x:v>応募者一覧</x:v>
      </x:c>
      <x:c r="E19" s="30" t="str">
        <x:v>求人ごとの応募者を一覧表示する</x:v>
      </x:c>
      <x:c r="F19" s="30" t="str">
        <x:v>企業</x:v>
      </x:c>
      <x:c r="G19" s="30" t="str">
        <x:v>〇</x:v>
      </x:c>
      <x:c r="H19" s="30" t="str">
        <x:v>無料</x:v>
      </x:c>
      <x:c r="I19" s="30" t="str">
        <x:v>最優先</x:v>
      </x:c>
      <x:c r="J19" s="30" t="str">
        <x:v>第1段階</x:v>
      </x:c>
      <x:c r="K19" s="30" t="str">
        <x:v>未着手</x:v>
      </x:c>
      <x:c r="L19" s="30"/>
    </x:row>
    <x:row r="20" ht="30" customHeight="1">
      <x:c r="A20" s="30" t="n">
        <x:v>17</x:v>
      </x:c>
      <x:c r="B20" s="30" t="str">
        <x:v>企業</x:v>
      </x:c>
      <x:c r="C20" s="30" t="str">
        <x:v>応募・採用管理</x:v>
      </x:c>
      <x:c r="D20" s="30" t="str">
        <x:v>応募者詳細</x:v>
      </x:c>
      <x:c r="E20" s="30" t="str">
        <x:v>プロフィール、履歴書、職歴、評価を確認する</x:v>
      </x:c>
      <x:c r="F20" s="30" t="str">
        <x:v>企業</x:v>
      </x:c>
      <x:c r="G20" s="30" t="str">
        <x:v>〇</x:v>
      </x:c>
      <x:c r="H20" s="30" t="str">
        <x:v>無料</x:v>
      </x:c>
      <x:c r="I20" s="30" t="str">
        <x:v>最優先</x:v>
      </x:c>
      <x:c r="J20" s="30" t="str">
        <x:v>第1段階</x:v>
      </x:c>
      <x:c r="K20" s="30" t="str">
        <x:v>未着手</x:v>
      </x:c>
      <x:c r="L20" s="30" t="str">
        <x:v>公開範囲に配慮</x:v>
      </x:c>
    </x:row>
    <x:row r="21" ht="30" customHeight="1">
      <x:c r="A21" s="30" t="n">
        <x:v>18</x:v>
      </x:c>
      <x:c r="B21" s="30" t="str">
        <x:v>企業</x:v>
      </x:c>
      <x:c r="C21" s="30" t="str">
        <x:v>応募・採用管理</x:v>
      </x:c>
      <x:c r="D21" s="30" t="str">
        <x:v>選考ステータス管理</x:v>
      </x:c>
      <x:c r="E21" s="30" t="str">
        <x:v>応募、書類選考、面接、内定、採用、不採用、辞退を管理する</x:v>
      </x:c>
      <x:c r="F21" s="30" t="str">
        <x:v>企業</x:v>
      </x:c>
      <x:c r="G21" s="30" t="str">
        <x:v>〇</x:v>
      </x:c>
      <x:c r="H21" s="30" t="str">
        <x:v>無料</x:v>
      </x:c>
      <x:c r="I21" s="30" t="str">
        <x:v>最優先</x:v>
      </x:c>
      <x:c r="J21" s="30" t="str">
        <x:v>第1段階</x:v>
      </x:c>
      <x:c r="K21" s="30" t="str">
        <x:v>未着手</x:v>
      </x:c>
      <x:c r="L21" s="30"/>
    </x:row>
    <x:row r="22" ht="30" customHeight="1">
      <x:c r="A22" s="30" t="n">
        <x:v>19</x:v>
      </x:c>
      <x:c r="B22" s="30" t="str">
        <x:v>企業</x:v>
      </x:c>
      <x:c r="C22" s="30" t="str">
        <x:v>応募・採用管理</x:v>
      </x:c>
      <x:c r="D22" s="30" t="str">
        <x:v>面接日程管理</x:v>
      </x:c>
      <x:c r="E22" s="30" t="str">
        <x:v>面接候補日時を提示し日程を確定する</x:v>
      </x:c>
      <x:c r="F22" s="30" t="str">
        <x:v>企業・ユーザー</x:v>
      </x:c>
      <x:c r="G22" s="30" t="str">
        <x:v>△</x:v>
      </x:c>
      <x:c r="H22" s="30" t="str">
        <x:v>無料</x:v>
      </x:c>
      <x:c r="I22" s="30" t="str">
        <x:v>高</x:v>
      </x:c>
      <x:c r="J22" s="30" t="str">
        <x:v>第2段階</x:v>
      </x:c>
      <x:c r="K22" s="30" t="str">
        <x:v>未着手</x:v>
      </x:c>
      <x:c r="L22" s="30"/>
    </x:row>
    <x:row r="23" ht="30" customHeight="1">
      <x:c r="A23" s="30" t="n">
        <x:v>20</x:v>
      </x:c>
      <x:c r="B23" s="30" t="str">
        <x:v>企業</x:v>
      </x:c>
      <x:c r="C23" s="30" t="str">
        <x:v>応募・採用管理</x:v>
      </x:c>
      <x:c r="D23" s="30" t="str">
        <x:v>採用決定</x:v>
      </x:c>
      <x:c r="E23" s="30" t="str">
        <x:v>応募者を採用済みに変更する</x:v>
      </x:c>
      <x:c r="F23" s="30" t="str">
        <x:v>企業</x:v>
      </x:c>
      <x:c r="G23" s="30" t="str">
        <x:v>〇</x:v>
      </x:c>
      <x:c r="H23" s="30" t="str">
        <x:v>無料</x:v>
      </x:c>
      <x:c r="I23" s="30" t="str">
        <x:v>最優先</x:v>
      </x:c>
      <x:c r="J23" s="30" t="str">
        <x:v>第1段階</x:v>
      </x:c>
      <x:c r="K23" s="30" t="str">
        <x:v>未着手</x:v>
      </x:c>
      <x:c r="L23" s="30" t="str">
        <x:v>採用人数は無制限</x:v>
      </x:c>
    </x:row>
    <x:row r="24" ht="30" customHeight="1">
      <x:c r="A24" s="30" t="n">
        <x:v>21</x:v>
      </x:c>
      <x:c r="B24" s="30" t="str">
        <x:v>企業</x:v>
      </x:c>
      <x:c r="C24" s="30" t="str">
        <x:v>応募・採用管理</x:v>
      </x:c>
      <x:c r="D24" s="30" t="str">
        <x:v>内定通知</x:v>
      </x:c>
      <x:c r="E24" s="30" t="str">
        <x:v>内定条件をユーザーへ通知する</x:v>
      </x:c>
      <x:c r="F24" s="30" t="str">
        <x:v>企業・ユーザー</x:v>
      </x:c>
      <x:c r="G24" s="30" t="str">
        <x:v>△</x:v>
      </x:c>
      <x:c r="H24" s="30" t="str">
        <x:v>無料</x:v>
      </x:c>
      <x:c r="I24" s="30" t="str">
        <x:v>高</x:v>
      </x:c>
      <x:c r="J24" s="30" t="str">
        <x:v>第2段階</x:v>
      </x:c>
      <x:c r="K24" s="30" t="str">
        <x:v>未着手</x:v>
      </x:c>
      <x:c r="L24" s="30"/>
    </x:row>
    <x:row r="25" ht="30" customHeight="1">
      <x:c r="A25" s="30" t="n">
        <x:v>22</x:v>
      </x:c>
      <x:c r="B25" s="30" t="str">
        <x:v>企業</x:v>
      </x:c>
      <x:c r="C25" s="30" t="str">
        <x:v>応募・採用管理</x:v>
      </x:c>
      <x:c r="D25" s="30" t="str">
        <x:v>応募者メモ</x:v>
      </x:c>
      <x:c r="E25" s="30" t="str">
        <x:v>社内用メモを応募者単位で記録する</x:v>
      </x:c>
      <x:c r="F25" s="30" t="str">
        <x:v>企業</x:v>
      </x:c>
      <x:c r="G25" s="30" t="str">
        <x:v>△</x:v>
      </x:c>
      <x:c r="H25" s="30" t="str">
        <x:v>有料</x:v>
      </x:c>
      <x:c r="I25" s="30" t="str">
        <x:v>中</x:v>
      </x:c>
      <x:c r="J25" s="30" t="str">
        <x:v>第2段階</x:v>
      </x:c>
      <x:c r="K25" s="30" t="str">
        <x:v>未着手</x:v>
      </x:c>
      <x:c r="L25" s="30"/>
    </x:row>
    <x:row r="26" ht="30" customHeight="1">
      <x:c r="A26" s="30" t="n">
        <x:v>23</x:v>
      </x:c>
      <x:c r="B26" s="30" t="str">
        <x:v>企業</x:v>
      </x:c>
      <x:c r="C26" s="30" t="str">
        <x:v>評価</x:v>
      </x:c>
      <x:c r="D26" s="30" t="str">
        <x:v>ユーザー評価登録</x:v>
      </x:c>
      <x:c r="E26" s="30" t="str">
        <x:v>実際に採用・就業したユーザーを項目別に評価する</x:v>
      </x:c>
      <x:c r="F26" s="30" t="str">
        <x:v>企業</x:v>
      </x:c>
      <x:c r="G26" s="30" t="str">
        <x:v>〇</x:v>
      </x:c>
      <x:c r="H26" s="30" t="str">
        <x:v>無料</x:v>
      </x:c>
      <x:c r="I26" s="30" t="str">
        <x:v>最優先</x:v>
      </x:c>
      <x:c r="J26" s="30" t="str">
        <x:v>第1段階</x:v>
      </x:c>
      <x:c r="K26" s="30" t="str">
        <x:v>未着手</x:v>
      </x:c>
      <x:c r="L26" s="30" t="str">
        <x:v>評価点ではなく評価完了率を料金に利用</x:v>
      </x:c>
    </x:row>
    <x:row r="27" ht="30" customHeight="1">
      <x:c r="A27" s="30" t="n">
        <x:v>24</x:v>
      </x:c>
      <x:c r="B27" s="30" t="str">
        <x:v>企業</x:v>
      </x:c>
      <x:c r="C27" s="30" t="str">
        <x:v>評価</x:v>
      </x:c>
      <x:c r="D27" s="30" t="str">
        <x:v>評価コメント登録</x:v>
      </x:c>
      <x:c r="E27" s="30" t="str">
        <x:v>業務に関係する事実をコメントとして登録する</x:v>
      </x:c>
      <x:c r="F27" s="30" t="str">
        <x:v>企業</x:v>
      </x:c>
      <x:c r="G27" s="30" t="str">
        <x:v>〇</x:v>
      </x:c>
      <x:c r="H27" s="30" t="str">
        <x:v>無料</x:v>
      </x:c>
      <x:c r="I27" s="30" t="str">
        <x:v>高</x:v>
      </x:c>
      <x:c r="J27" s="30" t="str">
        <x:v>第1段階</x:v>
      </x:c>
      <x:c r="K27" s="30" t="str">
        <x:v>未着手</x:v>
      </x:c>
      <x:c r="L27" s="30" t="str">
        <x:v>個人属性に関する記述は禁止</x:v>
      </x:c>
    </x:row>
    <x:row r="28" ht="30" customHeight="1">
      <x:c r="A28" s="30" t="n">
        <x:v>25</x:v>
      </x:c>
      <x:c r="B28" s="30" t="str">
        <x:v>企業</x:v>
      </x:c>
      <x:c r="C28" s="30" t="str">
        <x:v>評価</x:v>
      </x:c>
      <x:c r="D28" s="30" t="str">
        <x:v>評価下書き・確定</x:v>
      </x:c>
      <x:c r="E28" s="30" t="str">
        <x:v>評価内容を保存し、確定後に公開対象とする</x:v>
      </x:c>
      <x:c r="F28" s="30" t="str">
        <x:v>企業</x:v>
      </x:c>
      <x:c r="G28" s="30" t="str">
        <x:v>〇</x:v>
      </x:c>
      <x:c r="H28" s="30" t="str">
        <x:v>無料</x:v>
      </x:c>
      <x:c r="I28" s="30" t="str">
        <x:v>高</x:v>
      </x:c>
      <x:c r="J28" s="30" t="str">
        <x:v>第1段階</x:v>
      </x:c>
      <x:c r="K28" s="30" t="str">
        <x:v>未着手</x:v>
      </x:c>
      <x:c r="L28" s="30"/>
    </x:row>
    <x:row r="29" ht="30" customHeight="1">
      <x:c r="A29" s="30" t="n">
        <x:v>26</x:v>
      </x:c>
      <x:c r="B29" s="30" t="str">
        <x:v>企業</x:v>
      </x:c>
      <x:c r="C29" s="30" t="str">
        <x:v>評価</x:v>
      </x:c>
      <x:c r="D29" s="30" t="str">
        <x:v>評価協力率表示</x:v>
      </x:c>
      <x:c r="E29" s="30" t="str">
        <x:v>採用者に対する企業の評価完了率を表示する</x:v>
      </x:c>
      <x:c r="F29" s="30" t="str">
        <x:v>企業・ユーザー</x:v>
      </x:c>
      <x:c r="G29" s="30" t="str">
        <x:v>〇</x:v>
      </x:c>
      <x:c r="H29" s="30" t="str">
        <x:v>無料</x:v>
      </x:c>
      <x:c r="I29" s="30" t="str">
        <x:v>最優先</x:v>
      </x:c>
      <x:c r="J29" s="30" t="str">
        <x:v>第1段階</x:v>
      </x:c>
      <x:c r="K29" s="30" t="str">
        <x:v>未着手</x:v>
      </x:c>
      <x:c r="L29" s="30" t="str">
        <x:v>料金割引の基礎値</x:v>
      </x:c>
    </x:row>
    <x:row r="30" ht="30" customHeight="1">
      <x:c r="A30" s="30" t="n">
        <x:v>27</x:v>
      </x:c>
      <x:c r="B30" s="30" t="str">
        <x:v>企業</x:v>
      </x:c>
      <x:c r="C30" s="30" t="str">
        <x:v>評価</x:v>
      </x:c>
      <x:c r="D30" s="30" t="str">
        <x:v>企業からの評価返信</x:v>
      </x:c>
      <x:c r="E30" s="30" t="str">
        <x:v>ユーザー評価に対して企業が公式返信する</x:v>
      </x:c>
      <x:c r="F30" s="30" t="str">
        <x:v>企業</x:v>
      </x:c>
      <x:c r="G30" s="30" t="str">
        <x:v>△</x:v>
      </x:c>
      <x:c r="H30" s="30" t="str">
        <x:v>有料</x:v>
      </x:c>
      <x:c r="I30" s="30" t="str">
        <x:v>中</x:v>
      </x:c>
      <x:c r="J30" s="30" t="str">
        <x:v>第2段階</x:v>
      </x:c>
      <x:c r="K30" s="30" t="str">
        <x:v>未着手</x:v>
      </x:c>
      <x:c r="L30" s="30"/>
    </x:row>
    <x:row r="31" ht="30" customHeight="1">
      <x:c r="A31" s="30" t="n">
        <x:v>28</x:v>
      </x:c>
      <x:c r="B31" s="30" t="str">
        <x:v>企業</x:v>
      </x:c>
      <x:c r="C31" s="30" t="str">
        <x:v>従業員管理</x:v>
      </x:c>
      <x:c r="D31" s="30" t="str">
        <x:v>採用者の従業員登録</x:v>
      </x:c>
      <x:c r="E31" s="30" t="str">
        <x:v>採用したユーザーを企業の従業員として登録する</x:v>
      </x:c>
      <x:c r="F31" s="30" t="str">
        <x:v>企業</x:v>
      </x:c>
      <x:c r="G31" s="30" t="str">
        <x:v>×</x:v>
      </x:c>
      <x:c r="H31" s="30" t="str">
        <x:v>有料</x:v>
      </x:c>
      <x:c r="I31" s="30" t="str">
        <x:v>高</x:v>
      </x:c>
      <x:c r="J31" s="30" t="str">
        <x:v>第3段階</x:v>
      </x:c>
      <x:c r="K31" s="30" t="str">
        <x:v>未着手</x:v>
      </x:c>
      <x:c r="L31" s="30"/>
    </x:row>
    <x:row r="32" ht="30" customHeight="1">
      <x:c r="A32" s="30" t="n">
        <x:v>29</x:v>
      </x:c>
      <x:c r="B32" s="30" t="str">
        <x:v>企業</x:v>
      </x:c>
      <x:c r="C32" s="30" t="str">
        <x:v>従業員管理</x:v>
      </x:c>
      <x:c r="D32" s="30" t="str">
        <x:v>従業員一覧・検索</x:v>
      </x:c>
      <x:c r="E32" s="30" t="str">
        <x:v>在籍中・休職中・退職済みの従業員を検索する</x:v>
      </x:c>
      <x:c r="F32" s="30" t="str">
        <x:v>企業</x:v>
      </x:c>
      <x:c r="G32" s="30" t="str">
        <x:v>×</x:v>
      </x:c>
      <x:c r="H32" s="30" t="str">
        <x:v>有料</x:v>
      </x:c>
      <x:c r="I32" s="30" t="str">
        <x:v>高</x:v>
      </x:c>
      <x:c r="J32" s="30" t="str">
        <x:v>第3段階</x:v>
      </x:c>
      <x:c r="K32" s="30" t="str">
        <x:v>未着手</x:v>
      </x:c>
      <x:c r="L32" s="30"/>
    </x:row>
    <x:row r="33" ht="30" customHeight="1">
      <x:c r="A33" s="30" t="n">
        <x:v>30</x:v>
      </x:c>
      <x:c r="B33" s="30" t="str">
        <x:v>企業</x:v>
      </x:c>
      <x:c r="C33" s="30" t="str">
        <x:v>従業員管理</x:v>
      </x:c>
      <x:c r="D33" s="30" t="str">
        <x:v>部署・所属管理</x:v>
      </x:c>
      <x:c r="E33" s="30" t="str">
        <x:v>従業員の部署、役職、拠点を管理する</x:v>
      </x:c>
      <x:c r="F33" s="30" t="str">
        <x:v>企業</x:v>
      </x:c>
      <x:c r="G33" s="30" t="str">
        <x:v>×</x:v>
      </x:c>
      <x:c r="H33" s="30" t="str">
        <x:v>有料</x:v>
      </x:c>
      <x:c r="I33" s="30" t="str">
        <x:v>中</x:v>
      </x:c>
      <x:c r="J33" s="30" t="str">
        <x:v>第3段階</x:v>
      </x:c>
      <x:c r="K33" s="30" t="str">
        <x:v>未着手</x:v>
      </x:c>
      <x:c r="L33" s="30"/>
    </x:row>
    <x:row r="34" ht="30" customHeight="1">
      <x:c r="A34" s="30" t="n">
        <x:v>31</x:v>
      </x:c>
      <x:c r="B34" s="30" t="str">
        <x:v>企業</x:v>
      </x:c>
      <x:c r="C34" s="30" t="str">
        <x:v>従業員管理</x:v>
      </x:c>
      <x:c r="D34" s="30" t="str">
        <x:v>雇用契約管理</x:v>
      </x:c>
      <x:c r="E34" s="30" t="str">
        <x:v>雇用形態、契約期間、給与条件などを管理する</x:v>
      </x:c>
      <x:c r="F34" s="30" t="str">
        <x:v>企業</x:v>
      </x:c>
      <x:c r="G34" s="30" t="str">
        <x:v>×</x:v>
      </x:c>
      <x:c r="H34" s="30" t="str">
        <x:v>有料</x:v>
      </x:c>
      <x:c r="I34" s="30" t="str">
        <x:v>高</x:v>
      </x:c>
      <x:c r="J34" s="30" t="str">
        <x:v>第3段階</x:v>
      </x:c>
      <x:c r="K34" s="30" t="str">
        <x:v>未着手</x:v>
      </x:c>
      <x:c r="L34" s="30"/>
    </x:row>
    <x:row r="35" ht="30" customHeight="1">
      <x:c r="A35" s="30" t="n">
        <x:v>32</x:v>
      </x:c>
      <x:c r="B35" s="30" t="str">
        <x:v>企業</x:v>
      </x:c>
      <x:c r="C35" s="30" t="str">
        <x:v>従業員管理</x:v>
      </x:c>
      <x:c r="D35" s="30" t="str">
        <x:v>従業員書類管理</x:v>
      </x:c>
      <x:c r="E35" s="30" t="str">
        <x:v>契約書、誓約書などのファイルを保管する</x:v>
      </x:c>
      <x:c r="F35" s="30" t="str">
        <x:v>企業</x:v>
      </x:c>
      <x:c r="G35" s="30" t="str">
        <x:v>×</x:v>
      </x:c>
      <x:c r="H35" s="30" t="str">
        <x:v>有料</x:v>
      </x:c>
      <x:c r="I35" s="30" t="str">
        <x:v>中</x:v>
      </x:c>
      <x:c r="J35" s="30" t="str">
        <x:v>第3段階</x:v>
      </x:c>
      <x:c r="K35" s="30" t="str">
        <x:v>未着手</x:v>
      </x:c>
      <x:c r="L35" s="30"/>
    </x:row>
    <x:row r="36" ht="30" customHeight="1">
      <x:c r="A36" s="30" t="n">
        <x:v>33</x:v>
      </x:c>
      <x:c r="B36" s="30" t="str">
        <x:v>企業</x:v>
      </x:c>
      <x:c r="C36" s="30" t="str">
        <x:v>従業員管理</x:v>
      </x:c>
      <x:c r="D36" s="30" t="str">
        <x:v>退職・休職管理</x:v>
      </x:c>
      <x:c r="E36" s="30" t="str">
        <x:v>退職日、退職理由、休職期間を履歴として管理する</x:v>
      </x:c>
      <x:c r="F36" s="30" t="str">
        <x:v>企業</x:v>
      </x:c>
      <x:c r="G36" s="30" t="str">
        <x:v>×</x:v>
      </x:c>
      <x:c r="H36" s="30" t="str">
        <x:v>有料</x:v>
      </x:c>
      <x:c r="I36" s="30" t="str">
        <x:v>中</x:v>
      </x:c>
      <x:c r="J36" s="30" t="str">
        <x:v>第3段階</x:v>
      </x:c>
      <x:c r="K36" s="30" t="str">
        <x:v>未着手</x:v>
      </x:c>
      <x:c r="L36" s="30"/>
    </x:row>
    <x:row r="37" ht="30" customHeight="1">
      <x:c r="A37" s="30" t="n">
        <x:v>34</x:v>
      </x:c>
      <x:c r="B37" s="30" t="str">
        <x:v>企業</x:v>
      </x:c>
      <x:c r="C37" s="30" t="str">
        <x:v>勤怠</x:v>
      </x:c>
      <x:c r="D37" s="30" t="str">
        <x:v>出勤・退勤打刻</x:v>
      </x:c>
      <x:c r="E37" s="30" t="str">
        <x:v>従業員が勤務開始と終了を記録する</x:v>
      </x:c>
      <x:c r="F37" s="30" t="str">
        <x:v>企業・ユーザー</x:v>
      </x:c>
      <x:c r="G37" s="30" t="str">
        <x:v>×</x:v>
      </x:c>
      <x:c r="H37" s="30" t="str">
        <x:v>有料</x:v>
      </x:c>
      <x:c r="I37" s="30" t="str">
        <x:v>高</x:v>
      </x:c>
      <x:c r="J37" s="30" t="str">
        <x:v>第4段階</x:v>
      </x:c>
      <x:c r="K37" s="30" t="str">
        <x:v>未着手</x:v>
      </x:c>
      <x:c r="L37" s="30"/>
    </x:row>
    <x:row r="38" ht="30" customHeight="1">
      <x:c r="A38" s="30" t="n">
        <x:v>35</x:v>
      </x:c>
      <x:c r="B38" s="30" t="str">
        <x:v>企業</x:v>
      </x:c>
      <x:c r="C38" s="30" t="str">
        <x:v>勤怠</x:v>
      </x:c>
      <x:c r="D38" s="30" t="str">
        <x:v>休憩打刻</x:v>
      </x:c>
      <x:c r="E38" s="30" t="str">
        <x:v>休憩開始と終了を記録する</x:v>
      </x:c>
      <x:c r="F38" s="30" t="str">
        <x:v>企業・ユーザー</x:v>
      </x:c>
      <x:c r="G38" s="30" t="str">
        <x:v>×</x:v>
      </x:c>
      <x:c r="H38" s="30" t="str">
        <x:v>有料</x:v>
      </x:c>
      <x:c r="I38" s="30" t="str">
        <x:v>高</x:v>
      </x:c>
      <x:c r="J38" s="30" t="str">
        <x:v>第4段階</x:v>
      </x:c>
      <x:c r="K38" s="30" t="str">
        <x:v>未着手</x:v>
      </x:c>
      <x:c r="L38" s="30"/>
    </x:row>
    <x:row r="39" ht="30" customHeight="1">
      <x:c r="A39" s="30" t="n">
        <x:v>36</x:v>
      </x:c>
      <x:c r="B39" s="30" t="str">
        <x:v>企業</x:v>
      </x:c>
      <x:c r="C39" s="30" t="str">
        <x:v>勤怠</x:v>
      </x:c>
      <x:c r="D39" s="30" t="str">
        <x:v>シフト登録</x:v>
      </x:c>
      <x:c r="E39" s="30" t="str">
        <x:v>勤務予定を日単位・週単位で登録する</x:v>
      </x:c>
      <x:c r="F39" s="30" t="str">
        <x:v>企業</x:v>
      </x:c>
      <x:c r="G39" s="30" t="str">
        <x:v>×</x:v>
      </x:c>
      <x:c r="H39" s="30" t="str">
        <x:v>有料</x:v>
      </x:c>
      <x:c r="I39" s="30" t="str">
        <x:v>中</x:v>
      </x:c>
      <x:c r="J39" s="30" t="str">
        <x:v>第4段階</x:v>
      </x:c>
      <x:c r="K39" s="30" t="str">
        <x:v>未着手</x:v>
      </x:c>
      <x:c r="L39" s="30"/>
    </x:row>
    <x:row r="40" ht="30" customHeight="1">
      <x:c r="A40" s="30" t="n">
        <x:v>37</x:v>
      </x:c>
      <x:c r="B40" s="30" t="str">
        <x:v>企業</x:v>
      </x:c>
      <x:c r="C40" s="30" t="str">
        <x:v>勤怠</x:v>
      </x:c>
      <x:c r="D40" s="30" t="str">
        <x:v>休暇申請・承認</x:v>
      </x:c>
      <x:c r="E40" s="30" t="str">
        <x:v>有給、欠勤、特別休暇などを申請・承認する</x:v>
      </x:c>
      <x:c r="F40" s="30" t="str">
        <x:v>企業・ユーザー</x:v>
      </x:c>
      <x:c r="G40" s="30" t="str">
        <x:v>×</x:v>
      </x:c>
      <x:c r="H40" s="30" t="str">
        <x:v>有料</x:v>
      </x:c>
      <x:c r="I40" s="30" t="str">
        <x:v>中</x:v>
      </x:c>
      <x:c r="J40" s="30" t="str">
        <x:v>第4段階</x:v>
      </x:c>
      <x:c r="K40" s="30" t="str">
        <x:v>未着手</x:v>
      </x:c>
      <x:c r="L40" s="30"/>
    </x:row>
    <x:row r="41" ht="30" customHeight="1">
      <x:c r="A41" s="30" t="n">
        <x:v>38</x:v>
      </x:c>
      <x:c r="B41" s="30" t="str">
        <x:v>企業</x:v>
      </x:c>
      <x:c r="C41" s="30" t="str">
        <x:v>勤怠</x:v>
      </x:c>
      <x:c r="D41" s="30" t="str">
        <x:v>勤怠修正申請</x:v>
      </x:c>
      <x:c r="E41" s="30" t="str">
        <x:v>打刻漏れや誤打刻を申請し管理者が承認する</x:v>
      </x:c>
      <x:c r="F41" s="30" t="str">
        <x:v>企業・ユーザー</x:v>
      </x:c>
      <x:c r="G41" s="30" t="str">
        <x:v>×</x:v>
      </x:c>
      <x:c r="H41" s="30" t="str">
        <x:v>有料</x:v>
      </x:c>
      <x:c r="I41" s="30" t="str">
        <x:v>中</x:v>
      </x:c>
      <x:c r="J41" s="30" t="str">
        <x:v>第4段階</x:v>
      </x:c>
      <x:c r="K41" s="30" t="str">
        <x:v>未着手</x:v>
      </x:c>
      <x:c r="L41" s="30"/>
    </x:row>
    <x:row r="42" ht="30" customHeight="1">
      <x:c r="A42" s="30" t="n">
        <x:v>39</x:v>
      </x:c>
      <x:c r="B42" s="30" t="str">
        <x:v>企業</x:v>
      </x:c>
      <x:c r="C42" s="30" t="str">
        <x:v>勤怠</x:v>
      </x:c>
      <x:c r="D42" s="30" t="str">
        <x:v>月次勤怠締め</x:v>
      </x:c>
      <x:c r="E42" s="30" t="str">
        <x:v>対象月の勤怠を確定し編集を制限する</x:v>
      </x:c>
      <x:c r="F42" s="30" t="str">
        <x:v>企業</x:v>
      </x:c>
      <x:c r="G42" s="30" t="str">
        <x:v>×</x:v>
      </x:c>
      <x:c r="H42" s="30" t="str">
        <x:v>有料</x:v>
      </x:c>
      <x:c r="I42" s="30" t="str">
        <x:v>中</x:v>
      </x:c>
      <x:c r="J42" s="30" t="str">
        <x:v>第4段階</x:v>
      </x:c>
      <x:c r="K42" s="30" t="str">
        <x:v>未着手</x:v>
      </x:c>
      <x:c r="L42" s="30"/>
    </x:row>
    <x:row r="43" ht="30" customHeight="1">
      <x:c r="A43" s="30" t="n">
        <x:v>40</x:v>
      </x:c>
      <x:c r="B43" s="30" t="str">
        <x:v>企業</x:v>
      </x:c>
      <x:c r="C43" s="30" t="str">
        <x:v>勤怠</x:v>
      </x:c>
      <x:c r="D43" s="30" t="str">
        <x:v>勤怠CSV・Excel出力</x:v>
      </x:c>
      <x:c r="E43" s="30" t="str">
        <x:v>給与計算などに利用できる形式で出力する</x:v>
      </x:c>
      <x:c r="F43" s="30" t="str">
        <x:v>企業</x:v>
      </x:c>
      <x:c r="G43" s="30" t="str">
        <x:v>×</x:v>
      </x:c>
      <x:c r="H43" s="30" t="str">
        <x:v>有料</x:v>
      </x:c>
      <x:c r="I43" s="30" t="str">
        <x:v>中</x:v>
      </x:c>
      <x:c r="J43" s="30" t="str">
        <x:v>第4段階</x:v>
      </x:c>
      <x:c r="K43" s="30" t="str">
        <x:v>未着手</x:v>
      </x:c>
      <x:c r="L43" s="30"/>
    </x:row>
    <x:row r="44" ht="30" customHeight="1">
      <x:c r="A44" s="30" t="n">
        <x:v>41</x:v>
      </x:c>
      <x:c r="B44" s="30" t="str">
        <x:v>ユーザー</x:v>
      </x:c>
      <x:c r="C44" s="30" t="str">
        <x:v>アカウント</x:v>
      </x:c>
      <x:c r="D44" s="30" t="str">
        <x:v>ユーザー登録</x:v>
      </x:c>
      <x:c r="E44" s="30" t="str">
        <x:v>求職者がメールアドレスとパスワードで登録する</x:v>
      </x:c>
      <x:c r="F44" s="30" t="str">
        <x:v>ユーザー</x:v>
      </x:c>
      <x:c r="G44" s="30" t="str">
        <x:v>〇</x:v>
      </x:c>
      <x:c r="H44" s="30" t="str">
        <x:v>無料</x:v>
      </x:c>
      <x:c r="I44" s="30" t="str">
        <x:v>最優先</x:v>
      </x:c>
      <x:c r="J44" s="30" t="str">
        <x:v>第1段階</x:v>
      </x:c>
      <x:c r="K44" s="30" t="str">
        <x:v>未着手</x:v>
      </x:c>
      <x:c r="L44" s="30"/>
    </x:row>
    <x:row r="45" ht="30" customHeight="1">
      <x:c r="A45" s="30" t="n">
        <x:v>42</x:v>
      </x:c>
      <x:c r="B45" s="30" t="str">
        <x:v>ユーザー</x:v>
      </x:c>
      <x:c r="C45" s="30" t="str">
        <x:v>アカウント</x:v>
      </x:c>
      <x:c r="D45" s="30" t="str">
        <x:v>メール認証</x:v>
      </x:c>
      <x:c r="E45" s="30" t="str">
        <x:v>登録メールアドレスの所有確認を行う</x:v>
      </x:c>
      <x:c r="F45" s="30" t="str">
        <x:v>ユーザー</x:v>
      </x:c>
      <x:c r="G45" s="30" t="str">
        <x:v>〇</x:v>
      </x:c>
      <x:c r="H45" s="30" t="str">
        <x:v>無料</x:v>
      </x:c>
      <x:c r="I45" s="30" t="str">
        <x:v>高</x:v>
      </x:c>
      <x:c r="J45" s="30" t="str">
        <x:v>第1段階</x:v>
      </x:c>
      <x:c r="K45" s="30" t="str">
        <x:v>未着手</x:v>
      </x:c>
      <x:c r="L45" s="30"/>
    </x:row>
    <x:row r="46" ht="30" customHeight="1">
      <x:c r="A46" s="30" t="n">
        <x:v>43</x:v>
      </x:c>
      <x:c r="B46" s="30" t="str">
        <x:v>ユーザー</x:v>
      </x:c>
      <x:c r="C46" s="30" t="str">
        <x:v>アカウント</x:v>
      </x:c>
      <x:c r="D46" s="30" t="str">
        <x:v>ログイン・ログアウト</x:v>
      </x:c>
      <x:c r="E46" s="30" t="str">
        <x:v>認証情報を使用してサービスを利用する</x:v>
      </x:c>
      <x:c r="F46" s="30" t="str">
        <x:v>企業・ユーザー</x:v>
      </x:c>
      <x:c r="G46" s="30" t="str">
        <x:v>〇</x:v>
      </x:c>
      <x:c r="H46" s="30" t="str">
        <x:v>無料</x:v>
      </x:c>
      <x:c r="I46" s="30" t="str">
        <x:v>最優先</x:v>
      </x:c>
      <x:c r="J46" s="30" t="str">
        <x:v>第1段階</x:v>
      </x:c>
      <x:c r="K46" s="30" t="str">
        <x:v>未着手</x:v>
      </x:c>
      <x:c r="L46" s="30"/>
    </x:row>
    <x:row r="47" ht="30" customHeight="1">
      <x:c r="A47" s="30" t="n">
        <x:v>44</x:v>
      </x:c>
      <x:c r="B47" s="30" t="str">
        <x:v>ユーザー</x:v>
      </x:c>
      <x:c r="C47" s="30" t="str">
        <x:v>プロフィール</x:v>
      </x:c>
      <x:c r="D47" s="30" t="str">
        <x:v>基本プロフィール</x:v>
      </x:c>
      <x:c r="E47" s="30" t="str">
        <x:v>氏名、表示名、居住地域、自己紹介などを登録する</x:v>
      </x:c>
      <x:c r="F47" s="30" t="str">
        <x:v>ユーザー</x:v>
      </x:c>
      <x:c r="G47" s="30" t="str">
        <x:v>〇</x:v>
      </x:c>
      <x:c r="H47" s="30" t="str">
        <x:v>無料</x:v>
      </x:c>
      <x:c r="I47" s="30" t="str">
        <x:v>最優先</x:v>
      </x:c>
      <x:c r="J47" s="30" t="str">
        <x:v>第1段階</x:v>
      </x:c>
      <x:c r="K47" s="30" t="str">
        <x:v>未着手</x:v>
      </x:c>
      <x:c r="L47" s="30"/>
    </x:row>
    <x:row r="48" ht="30" customHeight="1">
      <x:c r="A48" s="30" t="n">
        <x:v>45</x:v>
      </x:c>
      <x:c r="B48" s="30" t="str">
        <x:v>ユーザー</x:v>
      </x:c>
      <x:c r="C48" s="30" t="str">
        <x:v>プロフィール</x:v>
      </x:c>
      <x:c r="D48" s="30" t="str">
        <x:v>職歴管理</x:v>
      </x:c>
      <x:c r="E48" s="30" t="str">
        <x:v>勤務先、職種、期間、業務内容を登録する</x:v>
      </x:c>
      <x:c r="F48" s="30" t="str">
        <x:v>ユーザー</x:v>
      </x:c>
      <x:c r="G48" s="30" t="str">
        <x:v>〇</x:v>
      </x:c>
      <x:c r="H48" s="30" t="str">
        <x:v>無料</x:v>
      </x:c>
      <x:c r="I48" s="30" t="str">
        <x:v>高</x:v>
      </x:c>
      <x:c r="J48" s="30" t="str">
        <x:v>第1段階</x:v>
      </x:c>
      <x:c r="K48" s="30" t="str">
        <x:v>未着手</x:v>
      </x:c>
      <x:c r="L48" s="30"/>
    </x:row>
    <x:row r="49" ht="30" customHeight="1">
      <x:c r="A49" s="30" t="n">
        <x:v>46</x:v>
      </x:c>
      <x:c r="B49" s="30" t="str">
        <x:v>ユーザー</x:v>
      </x:c>
      <x:c r="C49" s="30" t="str">
        <x:v>プロフィール</x:v>
      </x:c>
      <x:c r="D49" s="30" t="str">
        <x:v>学歴管理</x:v>
      </x:c>
      <x:c r="E49" s="30" t="str">
        <x:v>学校名、学部、在籍期間を登録する</x:v>
      </x:c>
      <x:c r="F49" s="30" t="str">
        <x:v>ユーザー</x:v>
      </x:c>
      <x:c r="G49" s="30" t="str">
        <x:v>〇</x:v>
      </x:c>
      <x:c r="H49" s="30" t="str">
        <x:v>無料</x:v>
      </x:c>
      <x:c r="I49" s="30" t="str">
        <x:v>中</x:v>
      </x:c>
      <x:c r="J49" s="30" t="str">
        <x:v>第1段階</x:v>
      </x:c>
      <x:c r="K49" s="30" t="str">
        <x:v>未着手</x:v>
      </x:c>
      <x:c r="L49" s="30"/>
    </x:row>
    <x:row r="50" ht="30" customHeight="1">
      <x:c r="A50" s="30" t="n">
        <x:v>47</x:v>
      </x:c>
      <x:c r="B50" s="30" t="str">
        <x:v>ユーザー</x:v>
      </x:c>
      <x:c r="C50" s="30" t="str">
        <x:v>プロフィール</x:v>
      </x:c>
      <x:c r="D50" s="30" t="str">
        <x:v>資格・スキル管理</x:v>
      </x:c>
      <x:c r="E50" s="30" t="str">
        <x:v>資格、技術、経験年数、習熟度を登録する</x:v>
      </x:c>
      <x:c r="F50" s="30" t="str">
        <x:v>ユーザー</x:v>
      </x:c>
      <x:c r="G50" s="30" t="str">
        <x:v>〇</x:v>
      </x:c>
      <x:c r="H50" s="30" t="str">
        <x:v>無料</x:v>
      </x:c>
      <x:c r="I50" s="30" t="str">
        <x:v>高</x:v>
      </x:c>
      <x:c r="J50" s="30" t="str">
        <x:v>第1段階</x:v>
      </x:c>
      <x:c r="K50" s="30" t="str">
        <x:v>未着手</x:v>
      </x:c>
      <x:c r="L50" s="30"/>
    </x:row>
    <x:row r="51" ht="30" customHeight="1">
      <x:c r="A51" s="30" t="n">
        <x:v>48</x:v>
      </x:c>
      <x:c r="B51" s="30" t="str">
        <x:v>ユーザー</x:v>
      </x:c>
      <x:c r="C51" s="30" t="str">
        <x:v>プロフィール</x:v>
      </x:c>
      <x:c r="D51" s="30" t="str">
        <x:v>希望条件管理</x:v>
      </x:c>
      <x:c r="E51" s="30" t="str">
        <x:v>希望職種、雇用形態、勤務地、報酬、勤務時間を登録する</x:v>
      </x:c>
      <x:c r="F51" s="30" t="str">
        <x:v>ユーザー</x:v>
      </x:c>
      <x:c r="G51" s="30" t="str">
        <x:v>〇</x:v>
      </x:c>
      <x:c r="H51" s="30" t="str">
        <x:v>無料</x:v>
      </x:c>
      <x:c r="I51" s="30" t="str">
        <x:v>高</x:v>
      </x:c>
      <x:c r="J51" s="30" t="str">
        <x:v>第1段階</x:v>
      </x:c>
      <x:c r="K51" s="30" t="str">
        <x:v>未着手</x:v>
      </x:c>
      <x:c r="L51" s="30"/>
    </x:row>
    <x:row r="52" ht="30" customHeight="1">
      <x:c r="A52" s="30" t="n">
        <x:v>49</x:v>
      </x:c>
      <x:c r="B52" s="30" t="str">
        <x:v>ユーザー</x:v>
      </x:c>
      <x:c r="C52" s="30" t="str">
        <x:v>プロフィール</x:v>
      </x:c>
      <x:c r="D52" s="30" t="str">
        <x:v>履歴書・職務経歴書</x:v>
      </x:c>
      <x:c r="E52" s="30" t="str">
        <x:v>履歴書と職務経歴書を作成・アップロードする</x:v>
      </x:c>
      <x:c r="F52" s="30" t="str">
        <x:v>ユーザー</x:v>
      </x:c>
      <x:c r="G52" s="30" t="str">
        <x:v>△</x:v>
      </x:c>
      <x:c r="H52" s="30" t="str">
        <x:v>無料</x:v>
      </x:c>
      <x:c r="I52" s="30" t="str">
        <x:v>高</x:v>
      </x:c>
      <x:c r="J52" s="30" t="str">
        <x:v>第2段階</x:v>
      </x:c>
      <x:c r="K52" s="30" t="str">
        <x:v>未着手</x:v>
      </x:c>
      <x:c r="L52" s="30"/>
    </x:row>
    <x:row r="53" ht="30" customHeight="1">
      <x:c r="A53" s="30" t="n">
        <x:v>50</x:v>
      </x:c>
      <x:c r="B53" s="30" t="str">
        <x:v>ユーザー</x:v>
      </x:c>
      <x:c r="C53" s="30" t="str">
        <x:v>プロフィール</x:v>
      </x:c>
      <x:c r="D53" s="30" t="str">
        <x:v>プロフィール公開範囲</x:v>
      </x:c>
      <x:c r="E53" s="30" t="str">
        <x:v>企業に公開する情報を項目単位で設定する</x:v>
      </x:c>
      <x:c r="F53" s="30" t="str">
        <x:v>ユーザー</x:v>
      </x:c>
      <x:c r="G53" s="30" t="str">
        <x:v>△</x:v>
      </x:c>
      <x:c r="H53" s="30" t="str">
        <x:v>無料</x:v>
      </x:c>
      <x:c r="I53" s="30" t="str">
        <x:v>中</x:v>
      </x:c>
      <x:c r="J53" s="30" t="str">
        <x:v>第2段階</x:v>
      </x:c>
      <x:c r="K53" s="30" t="str">
        <x:v>未着手</x:v>
      </x:c>
      <x:c r="L53" s="30"/>
    </x:row>
    <x:row r="54" ht="30" customHeight="1">
      <x:c r="A54" s="30" t="n">
        <x:v>51</x:v>
      </x:c>
      <x:c r="B54" s="30" t="str">
        <x:v>ユーザー</x:v>
      </x:c>
      <x:c r="C54" s="30" t="str">
        <x:v>応募</x:v>
      </x:c>
      <x:c r="D54" s="30" t="str">
        <x:v>求人応募</x:v>
      </x:c>
      <x:c r="E54" s="30" t="str">
        <x:v>選択した求人へプロフィールを使用して応募する</x:v>
      </x:c>
      <x:c r="F54" s="30" t="str">
        <x:v>ユーザー</x:v>
      </x:c>
      <x:c r="G54" s="30" t="str">
        <x:v>〇</x:v>
      </x:c>
      <x:c r="H54" s="30" t="str">
        <x:v>無料</x:v>
      </x:c>
      <x:c r="I54" s="30" t="str">
        <x:v>最優先</x:v>
      </x:c>
      <x:c r="J54" s="30" t="str">
        <x:v>第1段階</x:v>
      </x:c>
      <x:c r="K54" s="30" t="str">
        <x:v>未着手</x:v>
      </x:c>
      <x:c r="L54" s="30"/>
    </x:row>
    <x:row r="55" ht="30" customHeight="1">
      <x:c r="A55" s="30" t="n">
        <x:v>52</x:v>
      </x:c>
      <x:c r="B55" s="30" t="str">
        <x:v>ユーザー</x:v>
      </x:c>
      <x:c r="C55" s="30" t="str">
        <x:v>応募</x:v>
      </x:c>
      <x:c r="D55" s="30" t="str">
        <x:v>応募履歴</x:v>
      </x:c>
      <x:c r="E55" s="30" t="str">
        <x:v>応募した求人と現在の選考状況を確認する</x:v>
      </x:c>
      <x:c r="F55" s="30" t="str">
        <x:v>ユーザー</x:v>
      </x:c>
      <x:c r="G55" s="30" t="str">
        <x:v>〇</x:v>
      </x:c>
      <x:c r="H55" s="30" t="str">
        <x:v>無料</x:v>
      </x:c>
      <x:c r="I55" s="30" t="str">
        <x:v>高</x:v>
      </x:c>
      <x:c r="J55" s="30" t="str">
        <x:v>第1段階</x:v>
      </x:c>
      <x:c r="K55" s="30" t="str">
        <x:v>未着手</x:v>
      </x:c>
      <x:c r="L55" s="30"/>
    </x:row>
    <x:row r="56" ht="30" customHeight="1">
      <x:c r="A56" s="30" t="n">
        <x:v>53</x:v>
      </x:c>
      <x:c r="B56" s="30" t="str">
        <x:v>ユーザー</x:v>
      </x:c>
      <x:c r="C56" s="30" t="str">
        <x:v>応募</x:v>
      </x:c>
      <x:c r="D56" s="30" t="str">
        <x:v>応募辞退</x:v>
      </x:c>
      <x:c r="E56" s="30" t="str">
        <x:v>選考中の求人への応募を辞退する</x:v>
      </x:c>
      <x:c r="F56" s="30" t="str">
        <x:v>ユーザー</x:v>
      </x:c>
      <x:c r="G56" s="30" t="str">
        <x:v>〇</x:v>
      </x:c>
      <x:c r="H56" s="30" t="str">
        <x:v>無料</x:v>
      </x:c>
      <x:c r="I56" s="30" t="str">
        <x:v>高</x:v>
      </x:c>
      <x:c r="J56" s="30" t="str">
        <x:v>第1段階</x:v>
      </x:c>
      <x:c r="K56" s="30" t="str">
        <x:v>未着手</x:v>
      </x:c>
      <x:c r="L56" s="30"/>
    </x:row>
    <x:row r="57" ht="30" customHeight="1">
      <x:c r="A57" s="30" t="n">
        <x:v>54</x:v>
      </x:c>
      <x:c r="B57" s="30" t="str">
        <x:v>ユーザー</x:v>
      </x:c>
      <x:c r="C57" s="30" t="str">
        <x:v>応募</x:v>
      </x:c>
      <x:c r="D57" s="30" t="str">
        <x:v>内定承諾・辞退</x:v>
      </x:c>
      <x:c r="E57" s="30" t="str">
        <x:v>企業からの内定に回答する</x:v>
      </x:c>
      <x:c r="F57" s="30" t="str">
        <x:v>ユーザー</x:v>
      </x:c>
      <x:c r="G57" s="30" t="str">
        <x:v>△</x:v>
      </x:c>
      <x:c r="H57" s="30" t="str">
        <x:v>無料</x:v>
      </x:c>
      <x:c r="I57" s="30" t="str">
        <x:v>高</x:v>
      </x:c>
      <x:c r="J57" s="30" t="str">
        <x:v>第2段階</x:v>
      </x:c>
      <x:c r="K57" s="30" t="str">
        <x:v>未着手</x:v>
      </x:c>
      <x:c r="L57" s="30"/>
    </x:row>
    <x:row r="58" ht="30" customHeight="1">
      <x:c r="A58" s="30" t="n">
        <x:v>55</x:v>
      </x:c>
      <x:c r="B58" s="30" t="str">
        <x:v>ユーザー</x:v>
      </x:c>
      <x:c r="C58" s="30" t="str">
        <x:v>お気に入り</x:v>
      </x:c>
      <x:c r="D58" s="30" t="str">
        <x:v>求人お気に入り</x:v>
      </x:c>
      <x:c r="E58" s="30" t="str">
        <x:v>気になる求人を保存する</x:v>
      </x:c>
      <x:c r="F58" s="30" t="str">
        <x:v>ユーザー</x:v>
      </x:c>
      <x:c r="G58" s="30" t="str">
        <x:v>〇</x:v>
      </x:c>
      <x:c r="H58" s="30" t="str">
        <x:v>無料</x:v>
      </x:c>
      <x:c r="I58" s="30" t="str">
        <x:v>中</x:v>
      </x:c>
      <x:c r="J58" s="30" t="str">
        <x:v>第1段階</x:v>
      </x:c>
      <x:c r="K58" s="30" t="str">
        <x:v>未着手</x:v>
      </x:c>
      <x:c r="L58" s="30"/>
    </x:row>
    <x:row r="59" ht="30" customHeight="1">
      <x:c r="A59" s="30" t="n">
        <x:v>56</x:v>
      </x:c>
      <x:c r="B59" s="30" t="str">
        <x:v>ユーザー</x:v>
      </x:c>
      <x:c r="C59" s="30" t="str">
        <x:v>お気に入り</x:v>
      </x:c>
      <x:c r="D59" s="30" t="str">
        <x:v>企業お気に入り</x:v>
      </x:c>
      <x:c r="E59" s="30" t="str">
        <x:v>気になる企業を保存する</x:v>
      </x:c>
      <x:c r="F59" s="30" t="str">
        <x:v>ユーザー</x:v>
      </x:c>
      <x:c r="G59" s="30" t="str">
        <x:v>△</x:v>
      </x:c>
      <x:c r="H59" s="30" t="str">
        <x:v>無料</x:v>
      </x:c>
      <x:c r="I59" s="30" t="str">
        <x:v>低</x:v>
      </x:c>
      <x:c r="J59" s="30" t="str">
        <x:v>第2段階</x:v>
      </x:c>
      <x:c r="K59" s="30" t="str">
        <x:v>未着手</x:v>
      </x:c>
      <x:c r="L59" s="30"/>
    </x:row>
    <x:row r="60" ht="30" customHeight="1">
      <x:c r="A60" s="30" t="n">
        <x:v>57</x:v>
      </x:c>
      <x:c r="B60" s="30" t="str">
        <x:v>ユーザー</x:v>
      </x:c>
      <x:c r="C60" s="30" t="str">
        <x:v>評価</x:v>
      </x:c>
      <x:c r="D60" s="30" t="str">
        <x:v>企業評価登録</x:v>
      </x:c>
      <x:c r="E60" s="30" t="str">
        <x:v>応募・面接・就業実績のある企業を評価する</x:v>
      </x:c>
      <x:c r="F60" s="30" t="str">
        <x:v>ユーザー</x:v>
      </x:c>
      <x:c r="G60" s="30" t="str">
        <x:v>〇</x:v>
      </x:c>
      <x:c r="H60" s="30" t="str">
        <x:v>無料</x:v>
      </x:c>
      <x:c r="I60" s="30" t="str">
        <x:v>最優先</x:v>
      </x:c>
      <x:c r="J60" s="30" t="str">
        <x:v>第1段階</x:v>
      </x:c>
      <x:c r="K60" s="30" t="str">
        <x:v>未着手</x:v>
      </x:c>
      <x:c r="L60" s="30"/>
    </x:row>
    <x:row r="61" ht="30" customHeight="1">
      <x:c r="A61" s="30" t="n">
        <x:v>58</x:v>
      </x:c>
      <x:c r="B61" s="30" t="str">
        <x:v>ユーザー</x:v>
      </x:c>
      <x:c r="C61" s="30" t="str">
        <x:v>評価</x:v>
      </x:c>
      <x:c r="D61" s="30" t="str">
        <x:v>評価コメント登録</x:v>
      </x:c>
      <x:c r="E61" s="30" t="str">
        <x:v>求人内容との一致、対応、報酬支払などを記録する</x:v>
      </x:c>
      <x:c r="F61" s="30" t="str">
        <x:v>ユーザー</x:v>
      </x:c>
      <x:c r="G61" s="30" t="str">
        <x:v>〇</x:v>
      </x:c>
      <x:c r="H61" s="30" t="str">
        <x:v>無料</x:v>
      </x:c>
      <x:c r="I61" s="30" t="str">
        <x:v>高</x:v>
      </x:c>
      <x:c r="J61" s="30" t="str">
        <x:v>第1段階</x:v>
      </x:c>
      <x:c r="K61" s="30" t="str">
        <x:v>未着手</x:v>
      </x:c>
      <x:c r="L61" s="30"/>
    </x:row>
    <x:row r="62" ht="30" customHeight="1">
      <x:c r="A62" s="30" t="n">
        <x:v>59</x:v>
      </x:c>
      <x:c r="B62" s="30" t="str">
        <x:v>ユーザー</x:v>
      </x:c>
      <x:c r="C62" s="30" t="str">
        <x:v>評価</x:v>
      </x:c>
      <x:c r="D62" s="30" t="str">
        <x:v>評価下書き・確定</x:v>
      </x:c>
      <x:c r="E62" s="30" t="str">
        <x:v>評価を保存し確定後に公開対象とする</x:v>
      </x:c>
      <x:c r="F62" s="30" t="str">
        <x:v>ユーザー</x:v>
      </x:c>
      <x:c r="G62" s="30" t="str">
        <x:v>〇</x:v>
      </x:c>
      <x:c r="H62" s="30" t="str">
        <x:v>無料</x:v>
      </x:c>
      <x:c r="I62" s="30" t="str">
        <x:v>高</x:v>
      </x:c>
      <x:c r="J62" s="30" t="str">
        <x:v>第1段階</x:v>
      </x:c>
      <x:c r="K62" s="30" t="str">
        <x:v>未着手</x:v>
      </x:c>
      <x:c r="L62" s="30"/>
    </x:row>
    <x:row r="63" ht="30" customHeight="1">
      <x:c r="A63" s="30" t="n">
        <x:v>60</x:v>
      </x:c>
      <x:c r="B63" s="30" t="str">
        <x:v>ユーザー</x:v>
      </x:c>
      <x:c r="C63" s="30" t="str">
        <x:v>評価</x:v>
      </x:c>
      <x:c r="D63" s="30" t="str">
        <x:v>自分への評価確認</x:v>
      </x:c>
      <x:c r="E63" s="30" t="str">
        <x:v>企業から受けた評価を公開範囲に応じて確認する</x:v>
      </x:c>
      <x:c r="F63" s="30" t="str">
        <x:v>ユーザー</x:v>
      </x:c>
      <x:c r="G63" s="30" t="str">
        <x:v>〇</x:v>
      </x:c>
      <x:c r="H63" s="30" t="str">
        <x:v>無料</x:v>
      </x:c>
      <x:c r="I63" s="30" t="str">
        <x:v>高</x:v>
      </x:c>
      <x:c r="J63" s="30" t="str">
        <x:v>第1段階</x:v>
      </x:c>
      <x:c r="K63" s="30" t="str">
        <x:v>未着手</x:v>
      </x:c>
      <x:c r="L63" s="30"/>
    </x:row>
    <x:row r="64" ht="30" customHeight="1">
      <x:c r="A64" s="30" t="n">
        <x:v>61</x:v>
      </x:c>
      <x:c r="B64" s="30" t="str">
        <x:v>ユーザー</x:v>
      </x:c>
      <x:c r="C64" s="30" t="str">
        <x:v>評価</x:v>
      </x:c>
      <x:c r="D64" s="30" t="str">
        <x:v>評価への異議申立て</x:v>
      </x:c>
      <x:c r="E64" s="30" t="str">
        <x:v>事実と異なる評価を運営へ申し立てる</x:v>
      </x:c>
      <x:c r="F64" s="30" t="str">
        <x:v>ユーザー</x:v>
      </x:c>
      <x:c r="G64" s="30" t="str">
        <x:v>△</x:v>
      </x:c>
      <x:c r="H64" s="30" t="str">
        <x:v>無料</x:v>
      </x:c>
      <x:c r="I64" s="30" t="str">
        <x:v>中</x:v>
      </x:c>
      <x:c r="J64" s="30" t="str">
        <x:v>第2段階</x:v>
      </x:c>
      <x:c r="K64" s="30" t="str">
        <x:v>未着手</x:v>
      </x:c>
      <x:c r="L64" s="30"/>
    </x:row>
    <x:row r="65" ht="30" customHeight="1">
      <x:c r="A65" s="30" t="n">
        <x:v>62</x:v>
      </x:c>
      <x:c r="B65" s="30" t="str">
        <x:v>共通</x:v>
      </x:c>
      <x:c r="C65" s="30" t="str">
        <x:v>求人検索</x:v>
      </x:c>
      <x:c r="D65" s="30" t="str">
        <x:v>キーワード検索</x:v>
      </x:c>
      <x:c r="E65" s="30" t="str">
        <x:v>職種名、企業名、仕事内容などから求人を検索する</x:v>
      </x:c>
      <x:c r="F65" s="30" t="str">
        <x:v>企業・ユーザー</x:v>
      </x:c>
      <x:c r="G65" s="30" t="str">
        <x:v>〇</x:v>
      </x:c>
      <x:c r="H65" s="30" t="str">
        <x:v>無料</x:v>
      </x:c>
      <x:c r="I65" s="30" t="str">
        <x:v>最優先</x:v>
      </x:c>
      <x:c r="J65" s="30" t="str">
        <x:v>第1段階</x:v>
      </x:c>
      <x:c r="K65" s="30" t="str">
        <x:v>未着手</x:v>
      </x:c>
      <x:c r="L65" s="30"/>
    </x:row>
    <x:row r="66" ht="30" customHeight="1">
      <x:c r="A66" s="30" t="n">
        <x:v>63</x:v>
      </x:c>
      <x:c r="B66" s="30" t="str">
        <x:v>共通</x:v>
      </x:c>
      <x:c r="C66" s="30" t="str">
        <x:v>求人検索</x:v>
      </x:c>
      <x:c r="D66" s="30" t="str">
        <x:v>条件検索</x:v>
      </x:c>
      <x:c r="E66" s="30" t="str">
        <x:v>職種、雇用形態、地域、給与、勤務時間、特徴などで絞り込む</x:v>
      </x:c>
      <x:c r="F66" s="30" t="str">
        <x:v>ユーザー</x:v>
      </x:c>
      <x:c r="G66" s="30" t="str">
        <x:v>〇</x:v>
      </x:c>
      <x:c r="H66" s="30" t="str">
        <x:v>無料</x:v>
      </x:c>
      <x:c r="I66" s="30" t="str">
        <x:v>最優先</x:v>
      </x:c>
      <x:c r="J66" s="30" t="str">
        <x:v>第1段階</x:v>
      </x:c>
      <x:c r="K66" s="30" t="str">
        <x:v>未着手</x:v>
      </x:c>
      <x:c r="L66" s="30"/>
    </x:row>
    <x:row r="67" ht="30" customHeight="1">
      <x:c r="A67" s="30" t="n">
        <x:v>64</x:v>
      </x:c>
      <x:c r="B67" s="30" t="str">
        <x:v>共通</x:v>
      </x:c>
      <x:c r="C67" s="30" t="str">
        <x:v>求人検索</x:v>
      </x:c>
      <x:c r="D67" s="30" t="str">
        <x:v>並び替え</x:v>
      </x:c>
      <x:c r="E67" s="30" t="str">
        <x:v>新着順、給与順、評価順などで並び替える</x:v>
      </x:c>
      <x:c r="F67" s="30" t="str">
        <x:v>ユーザー</x:v>
      </x:c>
      <x:c r="G67" s="30" t="str">
        <x:v>〇</x:v>
      </x:c>
      <x:c r="H67" s="30" t="str">
        <x:v>無料</x:v>
      </x:c>
      <x:c r="I67" s="30" t="str">
        <x:v>高</x:v>
      </x:c>
      <x:c r="J67" s="30" t="str">
        <x:v>第1段階</x:v>
      </x:c>
      <x:c r="K67" s="30" t="str">
        <x:v>未着手</x:v>
      </x:c>
      <x:c r="L67" s="30"/>
    </x:row>
    <x:row r="68" ht="30" customHeight="1">
      <x:c r="A68" s="30" t="n">
        <x:v>65</x:v>
      </x:c>
      <x:c r="B68" s="30" t="str">
        <x:v>共通</x:v>
      </x:c>
      <x:c r="C68" s="30" t="str">
        <x:v>求人検索</x:v>
      </x:c>
      <x:c r="D68" s="30" t="str">
        <x:v>求人詳細表示</x:v>
      </x:c>
      <x:c r="E68" s="30" t="str">
        <x:v>求人条件、企業情報、企業評価をまとめて表示する</x:v>
      </x:c>
      <x:c r="F68" s="30" t="str">
        <x:v>ユーザー</x:v>
      </x:c>
      <x:c r="G68" s="30" t="str">
        <x:v>〇</x:v>
      </x:c>
      <x:c r="H68" s="30" t="str">
        <x:v>無料</x:v>
      </x:c>
      <x:c r="I68" s="30" t="str">
        <x:v>最優先</x:v>
      </x:c>
      <x:c r="J68" s="30" t="str">
        <x:v>第1段階</x:v>
      </x:c>
      <x:c r="K68" s="30" t="str">
        <x:v>未着手</x:v>
      </x:c>
      <x:c r="L68" s="30"/>
    </x:row>
    <x:row r="69" ht="30" customHeight="1">
      <x:c r="A69" s="30" t="n">
        <x:v>66</x:v>
      </x:c>
      <x:c r="B69" s="30" t="str">
        <x:v>共通</x:v>
      </x:c>
      <x:c r="C69" s="30" t="str">
        <x:v>求人検索</x:v>
      </x:c>
      <x:c r="D69" s="30" t="str">
        <x:v>検索条件保存</x:v>
      </x:c>
      <x:c r="E69" s="30" t="str">
        <x:v>検索条件を保存して再利用する</x:v>
      </x:c>
      <x:c r="F69" s="30" t="str">
        <x:v>ユーザー</x:v>
      </x:c>
      <x:c r="G69" s="30" t="str">
        <x:v>△</x:v>
      </x:c>
      <x:c r="H69" s="30" t="str">
        <x:v>無料</x:v>
      </x:c>
      <x:c r="I69" s="30" t="str">
        <x:v>中</x:v>
      </x:c>
      <x:c r="J69" s="30" t="str">
        <x:v>第2段階</x:v>
      </x:c>
      <x:c r="K69" s="30" t="str">
        <x:v>未着手</x:v>
      </x:c>
      <x:c r="L69" s="30"/>
    </x:row>
    <x:row r="70" ht="30" customHeight="1">
      <x:c r="A70" s="30" t="n">
        <x:v>67</x:v>
      </x:c>
      <x:c r="B70" s="30" t="str">
        <x:v>共通</x:v>
      </x:c>
      <x:c r="C70" s="30" t="str">
        <x:v>求人検索</x:v>
      </x:c>
      <x:c r="D70" s="30" t="str">
        <x:v>新着求人通知</x:v>
      </x:c>
      <x:c r="E70" s="30" t="str">
        <x:v>保存条件に一致する求人を通知する</x:v>
      </x:c>
      <x:c r="F70" s="30" t="str">
        <x:v>ユーザー</x:v>
      </x:c>
      <x:c r="G70" s="30" t="str">
        <x:v>△</x:v>
      </x:c>
      <x:c r="H70" s="30" t="str">
        <x:v>無料</x:v>
      </x:c>
      <x:c r="I70" s="30" t="str">
        <x:v>中</x:v>
      </x:c>
      <x:c r="J70" s="30" t="str">
        <x:v>第2段階</x:v>
      </x:c>
      <x:c r="K70" s="30" t="str">
        <x:v>未着手</x:v>
      </x:c>
      <x:c r="L70" s="30"/>
    </x:row>
    <x:row r="71" ht="30" customHeight="1">
      <x:c r="A71" s="30" t="n">
        <x:v>68</x:v>
      </x:c>
      <x:c r="B71" s="30" t="str">
        <x:v>共通</x:v>
      </x:c>
      <x:c r="C71" s="30" t="str">
        <x:v>チャット</x:v>
      </x:c>
      <x:c r="D71" s="30" t="str">
        <x:v>応募チャット作成</x:v>
      </x:c>
      <x:c r="E71" s="30" t="str">
        <x:v>求人への応募時に企業とユーザーのチャットを作成する</x:v>
      </x:c>
      <x:c r="F71" s="30" t="str">
        <x:v>企業・ユーザー</x:v>
      </x:c>
      <x:c r="G71" s="30" t="str">
        <x:v>〇</x:v>
      </x:c>
      <x:c r="H71" s="30" t="str">
        <x:v>無料</x:v>
      </x:c>
      <x:c r="I71" s="30" t="str">
        <x:v>最優先</x:v>
      </x:c>
      <x:c r="J71" s="30" t="str">
        <x:v>第1段階</x:v>
      </x:c>
      <x:c r="K71" s="30" t="str">
        <x:v>未着手</x:v>
      </x:c>
      <x:c r="L71" s="30" t="str">
        <x:v>応募単位でルームを作成</x:v>
      </x:c>
    </x:row>
    <x:row r="72" ht="30" customHeight="1">
      <x:c r="A72" s="30" t="n">
        <x:v>69</x:v>
      </x:c>
      <x:c r="B72" s="30" t="str">
        <x:v>共通</x:v>
      </x:c>
      <x:c r="C72" s="30" t="str">
        <x:v>チャット</x:v>
      </x:c>
      <x:c r="D72" s="30" t="str">
        <x:v>企業問い合わせチャット</x:v>
      </x:c>
      <x:c r="E72" s="30" t="str">
        <x:v>応募前にユーザーが企業へ質問する</x:v>
      </x:c>
      <x:c r="F72" s="30" t="str">
        <x:v>企業・ユーザー</x:v>
      </x:c>
      <x:c r="G72" s="30" t="str">
        <x:v>〇</x:v>
      </x:c>
      <x:c r="H72" s="30" t="str">
        <x:v>無料</x:v>
      </x:c>
      <x:c r="I72" s="30" t="str">
        <x:v>高</x:v>
      </x:c>
      <x:c r="J72" s="30" t="str">
        <x:v>第1段階</x:v>
      </x:c>
      <x:c r="K72" s="30" t="str">
        <x:v>未着手</x:v>
      </x:c>
      <x:c r="L72" s="30" t="str">
        <x:v>企業単位で作成</x:v>
      </x:c>
    </x:row>
    <x:row r="73" ht="30" customHeight="1">
      <x:c r="A73" s="30" t="n">
        <x:v>70</x:v>
      </x:c>
      <x:c r="B73" s="30" t="str">
        <x:v>共通</x:v>
      </x:c>
      <x:c r="C73" s="30" t="str">
        <x:v>チャット</x:v>
      </x:c>
      <x:c r="D73" s="30" t="str">
        <x:v>メッセージ送受信</x:v>
      </x:c>
      <x:c r="E73" s="30" t="str">
        <x:v>リアルタイムでメッセージを送受信する</x:v>
      </x:c>
      <x:c r="F73" s="30" t="str">
        <x:v>企業・ユーザー</x:v>
      </x:c>
      <x:c r="G73" s="30" t="str">
        <x:v>〇</x:v>
      </x:c>
      <x:c r="H73" s="30" t="str">
        <x:v>無料</x:v>
      </x:c>
      <x:c r="I73" s="30" t="str">
        <x:v>最優先</x:v>
      </x:c>
      <x:c r="J73" s="30" t="str">
        <x:v>第1段階</x:v>
      </x:c>
      <x:c r="K73" s="30" t="str">
        <x:v>未着手</x:v>
      </x:c>
      <x:c r="L73" s="30" t="str">
        <x:v>WebSocket想定</x:v>
      </x:c>
    </x:row>
    <x:row r="74" ht="30" customHeight="1">
      <x:c r="A74" s="30" t="n">
        <x:v>71</x:v>
      </x:c>
      <x:c r="B74" s="30" t="str">
        <x:v>共通</x:v>
      </x:c>
      <x:c r="C74" s="30" t="str">
        <x:v>チャット</x:v>
      </x:c>
      <x:c r="D74" s="30" t="str">
        <x:v>既読・未読管理</x:v>
      </x:c>
      <x:c r="E74" s="30" t="str">
        <x:v>参加者ごとに最終既読位置を管理する</x:v>
      </x:c>
      <x:c r="F74" s="30" t="str">
        <x:v>企業・ユーザー</x:v>
      </x:c>
      <x:c r="G74" s="30" t="str">
        <x:v>〇</x:v>
      </x:c>
      <x:c r="H74" s="30" t="str">
        <x:v>無料</x:v>
      </x:c>
      <x:c r="I74" s="30" t="str">
        <x:v>高</x:v>
      </x:c>
      <x:c r="J74" s="30" t="str">
        <x:v>第1段階</x:v>
      </x:c>
      <x:c r="K74" s="30" t="str">
        <x:v>未着手</x:v>
      </x:c>
      <x:c r="L74" s="30"/>
    </x:row>
    <x:row r="75" ht="30" customHeight="1">
      <x:c r="A75" s="30" t="n">
        <x:v>72</x:v>
      </x:c>
      <x:c r="B75" s="30" t="str">
        <x:v>共通</x:v>
      </x:c>
      <x:c r="C75" s="30" t="str">
        <x:v>チャット</x:v>
      </x:c>
      <x:c r="D75" s="30" t="str">
        <x:v>添付ファイル送信</x:v>
      </x:c>
      <x:c r="E75" s="30" t="str">
        <x:v>履歴書、画像、PDFなどを送信する</x:v>
      </x:c>
      <x:c r="F75" s="30" t="str">
        <x:v>企業・ユーザー</x:v>
      </x:c>
      <x:c r="G75" s="30" t="str">
        <x:v>△</x:v>
      </x:c>
      <x:c r="H75" s="30" t="str">
        <x:v>制限付き無料</x:v>
      </x:c>
      <x:c r="I75" s="30" t="str">
        <x:v>中</x:v>
      </x:c>
      <x:c r="J75" s="30" t="str">
        <x:v>第2段階</x:v>
      </x:c>
      <x:c r="K75" s="30" t="str">
        <x:v>未着手</x:v>
      </x:c>
      <x:c r="L75" s="30" t="str">
        <x:v>容量・保存期間で制限</x:v>
      </x:c>
    </x:row>
    <x:row r="76" ht="30" customHeight="1">
      <x:c r="A76" s="30" t="n">
        <x:v>73</x:v>
      </x:c>
      <x:c r="B76" s="30" t="str">
        <x:v>共通</x:v>
      </x:c>
      <x:c r="C76" s="30" t="str">
        <x:v>チャット</x:v>
      </x:c>
      <x:c r="D76" s="30" t="str">
        <x:v>チャットルーム終了</x:v>
      </x:c>
      <x:c r="E76" s="30" t="str">
        <x:v>不採用、辞退、募集終了後に送信を停止する</x:v>
      </x:c>
      <x:c r="F76" s="30" t="str">
        <x:v>企業・ユーザー</x:v>
      </x:c>
      <x:c r="G76" s="30" t="str">
        <x:v>〇</x:v>
      </x:c>
      <x:c r="H76" s="30" t="str">
        <x:v>無料</x:v>
      </x:c>
      <x:c r="I76" s="30" t="str">
        <x:v>高</x:v>
      </x:c>
      <x:c r="J76" s="30" t="str">
        <x:v>第1段階</x:v>
      </x:c>
      <x:c r="K76" s="30" t="str">
        <x:v>未着手</x:v>
      </x:c>
      <x:c r="L76" s="30"/>
    </x:row>
    <x:row r="77" ht="30" customHeight="1">
      <x:c r="A77" s="30" t="n">
        <x:v>74</x:v>
      </x:c>
      <x:c r="B77" s="30" t="str">
        <x:v>共通</x:v>
      </x:c>
      <x:c r="C77" s="30" t="str">
        <x:v>チャット</x:v>
      </x:c>
      <x:c r="D77" s="30" t="str">
        <x:v>メッセージ保存期限</x:v>
      </x:c>
      <x:c r="E77" s="30" t="str">
        <x:v>ルーム種別やプランに応じて保存期限を管理する</x:v>
      </x:c>
      <x:c r="F77" s="30" t="str">
        <x:v>企業・ユーザー</x:v>
      </x:c>
      <x:c r="G77" s="30" t="str">
        <x:v>△</x:v>
      </x:c>
      <x:c r="H77" s="30" t="str">
        <x:v>有料</x:v>
      </x:c>
      <x:c r="I77" s="30" t="str">
        <x:v>低</x:v>
      </x:c>
      <x:c r="J77" s="30" t="str">
        <x:v>第3段階</x:v>
      </x:c>
      <x:c r="K77" s="30" t="str">
        <x:v>未着手</x:v>
      </x:c>
      <x:c r="L77" s="30"/>
    </x:row>
    <x:row r="78" ht="30" customHeight="1">
      <x:c r="A78" s="30" t="n">
        <x:v>75</x:v>
      </x:c>
      <x:c r="B78" s="30" t="str">
        <x:v>共通</x:v>
      </x:c>
      <x:c r="C78" s="30" t="str">
        <x:v>評価</x:v>
      </x:c>
      <x:c r="D78" s="30" t="str">
        <x:v>双方同時公開</x:v>
      </x:c>
      <x:c r="E78" s="30" t="str">
        <x:v>双方の評価完了または期限到来後に評価を公開する</x:v>
      </x:c>
      <x:c r="F78" s="30" t="str">
        <x:v>企業・ユーザー</x:v>
      </x:c>
      <x:c r="G78" s="30" t="str">
        <x:v>〇</x:v>
      </x:c>
      <x:c r="H78" s="30" t="str">
        <x:v>無料</x:v>
      </x:c>
      <x:c r="I78" s="30" t="str">
        <x:v>最優先</x:v>
      </x:c>
      <x:c r="J78" s="30" t="str">
        <x:v>第1段階</x:v>
      </x:c>
      <x:c r="K78" s="30" t="str">
        <x:v>未着手</x:v>
      </x:c>
      <x:c r="L78" s="30" t="str">
        <x:v>報復評価を抑止</x:v>
      </x:c>
    </x:row>
    <x:row r="79" ht="30" customHeight="1">
      <x:c r="A79" s="30" t="n">
        <x:v>76</x:v>
      </x:c>
      <x:c r="B79" s="30" t="str">
        <x:v>共通</x:v>
      </x:c>
      <x:c r="C79" s="30" t="str">
        <x:v>評価</x:v>
      </x:c>
      <x:c r="D79" s="30" t="str">
        <x:v>評価対象判定</x:v>
      </x:c>
      <x:c r="E79" s="30" t="str">
        <x:v>採用・勤務・案件完了実績から評価可能か判定する</x:v>
      </x:c>
      <x:c r="F79" s="30" t="str">
        <x:v>企業・ユーザー</x:v>
      </x:c>
      <x:c r="G79" s="30" t="str">
        <x:v>〇</x:v>
      </x:c>
      <x:c r="H79" s="30" t="str">
        <x:v>無料</x:v>
      </x:c>
      <x:c r="I79" s="30" t="str">
        <x:v>最優先</x:v>
      </x:c>
      <x:c r="J79" s="30" t="str">
        <x:v>第1段階</x:v>
      </x:c>
      <x:c r="K79" s="30" t="str">
        <x:v>未着手</x:v>
      </x:c>
      <x:c r="L79" s="30"/>
    </x:row>
    <x:row r="80" ht="30" customHeight="1">
      <x:c r="A80" s="30" t="n">
        <x:v>77</x:v>
      </x:c>
      <x:c r="B80" s="30" t="str">
        <x:v>共通</x:v>
      </x:c>
      <x:c r="C80" s="30" t="str">
        <x:v>評価</x:v>
      </x:c>
      <x:c r="D80" s="30" t="str">
        <x:v>評価期限通知</x:v>
      </x:c>
      <x:c r="E80" s="30" t="str">
        <x:v>評価可能日と期限を通知する</x:v>
      </x:c>
      <x:c r="F80" s="30" t="str">
        <x:v>企業・ユーザー</x:v>
      </x:c>
      <x:c r="G80" s="30" t="str">
        <x:v>〇</x:v>
      </x:c>
      <x:c r="H80" s="30" t="str">
        <x:v>無料</x:v>
      </x:c>
      <x:c r="I80" s="30" t="str">
        <x:v>高</x:v>
      </x:c>
      <x:c r="J80" s="30" t="str">
        <x:v>第1段階</x:v>
      </x:c>
      <x:c r="K80" s="30" t="str">
        <x:v>未着手</x:v>
      </x:c>
      <x:c r="L80" s="30"/>
    </x:row>
    <x:row r="81" ht="30" customHeight="1">
      <x:c r="A81" s="30" t="n">
        <x:v>78</x:v>
      </x:c>
      <x:c r="B81" s="30" t="str">
        <x:v>共通</x:v>
      </x:c>
      <x:c r="C81" s="30" t="str">
        <x:v>評価</x:v>
      </x:c>
      <x:c r="D81" s="30" t="str">
        <x:v>評価通報</x:v>
      </x:c>
      <x:c r="E81" s="30" t="str">
        <x:v>不適切な評価を運営へ報告する</x:v>
      </x:c>
      <x:c r="F81" s="30" t="str">
        <x:v>企業・ユーザー</x:v>
      </x:c>
      <x:c r="G81" s="30" t="str">
        <x:v>〇</x:v>
      </x:c>
      <x:c r="H81" s="30" t="str">
        <x:v>無料</x:v>
      </x:c>
      <x:c r="I81" s="30" t="str">
        <x:v>高</x:v>
      </x:c>
      <x:c r="J81" s="30" t="str">
        <x:v>第1段階</x:v>
      </x:c>
      <x:c r="K81" s="30" t="str">
        <x:v>未着手</x:v>
      </x:c>
      <x:c r="L81" s="30"/>
    </x:row>
    <x:row r="82" ht="30" customHeight="1">
      <x:c r="A82" s="30" t="n">
        <x:v>79</x:v>
      </x:c>
      <x:c r="B82" s="30" t="str">
        <x:v>共通</x:v>
      </x:c>
      <x:c r="C82" s="30" t="str">
        <x:v>通知</x:v>
      </x:c>
      <x:c r="D82" s="30" t="str">
        <x:v>サイト内通知</x:v>
      </x:c>
      <x:c r="E82" s="30" t="str">
        <x:v>応募、チャット、選考、評価、勤怠の通知を表示する</x:v>
      </x:c>
      <x:c r="F82" s="30" t="str">
        <x:v>企業・ユーザー</x:v>
      </x:c>
      <x:c r="G82" s="30" t="str">
        <x:v>〇</x:v>
      </x:c>
      <x:c r="H82" s="30" t="str">
        <x:v>無料</x:v>
      </x:c>
      <x:c r="I82" s="30" t="str">
        <x:v>高</x:v>
      </x:c>
      <x:c r="J82" s="30" t="str">
        <x:v>第1段階</x:v>
      </x:c>
      <x:c r="K82" s="30" t="str">
        <x:v>未着手</x:v>
      </x:c>
      <x:c r="L82" s="30"/>
    </x:row>
    <x:row r="83" ht="30" customHeight="1">
      <x:c r="A83" s="30" t="n">
        <x:v>80</x:v>
      </x:c>
      <x:c r="B83" s="30" t="str">
        <x:v>共通</x:v>
      </x:c>
      <x:c r="C83" s="30" t="str">
        <x:v>通知</x:v>
      </x:c>
      <x:c r="D83" s="30" t="str">
        <x:v>メール通知</x:v>
      </x:c>
      <x:c r="E83" s="30" t="str">
        <x:v>重要な更新を登録メールへ送信する</x:v>
      </x:c>
      <x:c r="F83" s="30" t="str">
        <x:v>企業・ユーザー</x:v>
      </x:c>
      <x:c r="G83" s="30" t="str">
        <x:v>〇</x:v>
      </x:c>
      <x:c r="H83" s="30" t="str">
        <x:v>無料</x:v>
      </x:c>
      <x:c r="I83" s="30" t="str">
        <x:v>高</x:v>
      </x:c>
      <x:c r="J83" s="30" t="str">
        <x:v>第1段階</x:v>
      </x:c>
      <x:c r="K83" s="30" t="str">
        <x:v>未着手</x:v>
      </x:c>
      <x:c r="L83" s="30"/>
    </x:row>
    <x:row r="84" ht="30" customHeight="1">
      <x:c r="A84" s="30" t="n">
        <x:v>81</x:v>
      </x:c>
      <x:c r="B84" s="30" t="str">
        <x:v>共通</x:v>
      </x:c>
      <x:c r="C84" s="30" t="str">
        <x:v>セキュリティ</x:v>
      </x:c>
      <x:c r="D84" s="30" t="str">
        <x:v>パスワード再設定</x:v>
      </x:c>
      <x:c r="E84" s="30" t="str">
        <x:v>本人確認メールを使用してパスワードを再設定する</x:v>
      </x:c>
      <x:c r="F84" s="30" t="str">
        <x:v>企業・ユーザー</x:v>
      </x:c>
      <x:c r="G84" s="30" t="str">
        <x:v>〇</x:v>
      </x:c>
      <x:c r="H84" s="30" t="str">
        <x:v>無料</x:v>
      </x:c>
      <x:c r="I84" s="30" t="str">
        <x:v>高</x:v>
      </x:c>
      <x:c r="J84" s="30" t="str">
        <x:v>第1段階</x:v>
      </x:c>
      <x:c r="K84" s="30" t="str">
        <x:v>未着手</x:v>
      </x:c>
      <x:c r="L84" s="30"/>
    </x:row>
    <x:row r="85" ht="30" customHeight="1">
      <x:c r="A85" s="30" t="n">
        <x:v>82</x:v>
      </x:c>
      <x:c r="B85" s="30" t="str">
        <x:v>共通</x:v>
      </x:c>
      <x:c r="C85" s="30" t="str">
        <x:v>セキュリティ</x:v>
      </x:c>
      <x:c r="D85" s="30" t="str">
        <x:v>操作履歴</x:v>
      </x:c>
      <x:c r="E85" s="30" t="str">
        <x:v>重要操作を監査ログとして保存する</x:v>
      </x:c>
      <x:c r="F85" s="30" t="str">
        <x:v>企業・運営</x:v>
      </x:c>
      <x:c r="G85" s="30" t="str">
        <x:v>△</x:v>
      </x:c>
      <x:c r="H85" s="30" t="str">
        <x:v>有料</x:v>
      </x:c>
      <x:c r="I85" s="30" t="str">
        <x:v>中</x:v>
      </x:c>
      <x:c r="J85" s="30" t="str">
        <x:v>第2段階</x:v>
      </x:c>
      <x:c r="K85" s="30" t="str">
        <x:v>未着手</x:v>
      </x:c>
      <x:c r="L85" s="30"/>
    </x:row>
    <x:row r="86" ht="30" customHeight="1">
      <x:c r="A86" s="30" t="n">
        <x:v>83</x:v>
      </x:c>
      <x:c r="B86" s="30" t="str">
        <x:v>共通</x:v>
      </x:c>
      <x:c r="C86" s="30" t="str">
        <x:v>セキュリティ</x:v>
      </x:c>
      <x:c r="D86" s="30" t="str">
        <x:v>退会・アカウント停止</x:v>
      </x:c>
      <x:c r="E86" s="30" t="str">
        <x:v>利用者が退会し、運営が違反アカウントを停止する</x:v>
      </x:c>
      <x:c r="F86" s="30" t="str">
        <x:v>企業・ユーザー・運営</x:v>
      </x:c>
      <x:c r="G86" s="30" t="str">
        <x:v>〇</x:v>
      </x:c>
      <x:c r="H86" s="30" t="str">
        <x:v>無料</x:v>
      </x:c>
      <x:c r="I86" s="30" t="str">
        <x:v>高</x:v>
      </x:c>
      <x:c r="J86" s="30" t="str">
        <x:v>第1段階</x:v>
      </x:c>
      <x:c r="K86" s="30" t="str">
        <x:v>未着手</x:v>
      </x:c>
      <x:c r="L86" s="30"/>
    </x:row>
    <x:row r="87" ht="30" customHeight="1">
      <x:c r="A87" s="30" t="n">
        <x:v>84</x:v>
      </x:c>
      <x:c r="B87" s="30" t="str">
        <x:v>運営</x:v>
      </x:c>
      <x:c r="C87" s="30" t="str">
        <x:v>管理</x:v>
      </x:c>
      <x:c r="D87" s="30" t="str">
        <x:v>企業審査</x:v>
      </x:c>
      <x:c r="E87" s="30" t="str">
        <x:v>企業情報と提出書類を確認し承認・差戻しする</x:v>
      </x:c>
      <x:c r="F87" s="30" t="str">
        <x:v>運営</x:v>
      </x:c>
      <x:c r="G87" s="30" t="str">
        <x:v>〇</x:v>
      </x:c>
      <x:c r="H87" s="30" t="str">
        <x:v>運営機能</x:v>
      </x:c>
      <x:c r="I87" s="30" t="str">
        <x:v>最優先</x:v>
      </x:c>
      <x:c r="J87" s="30" t="str">
        <x:v>第1段階</x:v>
      </x:c>
      <x:c r="K87" s="30" t="str">
        <x:v>未着手</x:v>
      </x:c>
      <x:c r="L87" s="30"/>
    </x:row>
    <x:row r="88" ht="30" customHeight="1">
      <x:c r="A88" s="30" t="n">
        <x:v>85</x:v>
      </x:c>
      <x:c r="B88" s="30" t="str">
        <x:v>運営</x:v>
      </x:c>
      <x:c r="C88" s="30" t="str">
        <x:v>管理</x:v>
      </x:c>
      <x:c r="D88" s="30" t="str">
        <x:v>求人審査</x:v>
      </x:c>
      <x:c r="E88" s="30" t="str">
        <x:v>求人内容を確認し公開・差戻し・停止する</x:v>
      </x:c>
      <x:c r="F88" s="30" t="str">
        <x:v>運営</x:v>
      </x:c>
      <x:c r="G88" s="30" t="str">
        <x:v>〇</x:v>
      </x:c>
      <x:c r="H88" s="30" t="str">
        <x:v>運営機能</x:v>
      </x:c>
      <x:c r="I88" s="30" t="str">
        <x:v>最優先</x:v>
      </x:c>
      <x:c r="J88" s="30" t="str">
        <x:v>第1段階</x:v>
      </x:c>
      <x:c r="K88" s="30" t="str">
        <x:v>未着手</x:v>
      </x:c>
      <x:c r="L88" s="30"/>
    </x:row>
    <x:row r="89" ht="30" customHeight="1">
      <x:c r="A89" s="30" t="n">
        <x:v>86</x:v>
      </x:c>
      <x:c r="B89" s="30" t="str">
        <x:v>運営</x:v>
      </x:c>
      <x:c r="C89" s="30" t="str">
        <x:v>管理</x:v>
      </x:c>
      <x:c r="D89" s="30" t="str">
        <x:v>ユーザー管理</x:v>
      </x:c>
      <x:c r="E89" s="30" t="str">
        <x:v>ユーザーの検索、状態変更、利用停止を行う</x:v>
      </x:c>
      <x:c r="F89" s="30" t="str">
        <x:v>運営</x:v>
      </x:c>
      <x:c r="G89" s="30" t="str">
        <x:v>〇</x:v>
      </x:c>
      <x:c r="H89" s="30" t="str">
        <x:v>運営機能</x:v>
      </x:c>
      <x:c r="I89" s="30" t="str">
        <x:v>高</x:v>
      </x:c>
      <x:c r="J89" s="30" t="str">
        <x:v>第1段階</x:v>
      </x:c>
      <x:c r="K89" s="30" t="str">
        <x:v>未着手</x:v>
      </x:c>
      <x:c r="L89" s="30"/>
    </x:row>
    <x:row r="90" ht="30" customHeight="1">
      <x:c r="A90" s="30" t="n">
        <x:v>87</x:v>
      </x:c>
      <x:c r="B90" s="30" t="str">
        <x:v>運営</x:v>
      </x:c>
      <x:c r="C90" s="30" t="str">
        <x:v>評価管理</x:v>
      </x:c>
      <x:c r="D90" s="30" t="str">
        <x:v>評価・通報審査</x:v>
      </x:c>
      <x:c r="E90" s="30" t="str">
        <x:v>評価内容と通報を確認し公開継続・非表示・削除を決定する</x:v>
      </x:c>
      <x:c r="F90" s="30" t="str">
        <x:v>運営</x:v>
      </x:c>
      <x:c r="G90" s="30" t="str">
        <x:v>〇</x:v>
      </x:c>
      <x:c r="H90" s="30" t="str">
        <x:v>運営機能</x:v>
      </x:c>
      <x:c r="I90" s="30" t="str">
        <x:v>最優先</x:v>
      </x:c>
      <x:c r="J90" s="30" t="str">
        <x:v>第1段階</x:v>
      </x:c>
      <x:c r="K90" s="30" t="str">
        <x:v>未着手</x:v>
      </x:c>
      <x:c r="L90" s="30"/>
    </x:row>
    <x:row r="91" ht="30" customHeight="1">
      <x:c r="A91" s="30" t="n">
        <x:v>88</x:v>
      </x:c>
      <x:c r="B91" s="30" t="str">
        <x:v>運営</x:v>
      </x:c>
      <x:c r="C91" s="30" t="str">
        <x:v>評価管理</x:v>
      </x:c>
      <x:c r="D91" s="30" t="str">
        <x:v>評価編集履歴</x:v>
      </x:c>
      <x:c r="E91" s="30" t="str">
        <x:v>評価の変更履歴と運営対応履歴を保存する</x:v>
      </x:c>
      <x:c r="F91" s="30" t="str">
        <x:v>運営</x:v>
      </x:c>
      <x:c r="G91" s="30" t="str">
        <x:v>〇</x:v>
      </x:c>
      <x:c r="H91" s="30" t="str">
        <x:v>運営機能</x:v>
      </x:c>
      <x:c r="I91" s="30" t="str">
        <x:v>高</x:v>
      </x:c>
      <x:c r="J91" s="30" t="str">
        <x:v>第1段階</x:v>
      </x:c>
      <x:c r="K91" s="30" t="str">
        <x:v>未着手</x:v>
      </x:c>
      <x:c r="L91" s="30"/>
    </x:row>
    <x:row r="92" ht="30" customHeight="1">
      <x:c r="A92" s="30" t="n">
        <x:v>89</x:v>
      </x:c>
      <x:c r="B92" s="30" t="str">
        <x:v>運営</x:v>
      </x:c>
      <x:c r="C92" s="30" t="str">
        <x:v>料金・契約</x:v>
      </x:c>
      <x:c r="D92" s="30" t="str">
        <x:v>企業プラン管理</x:v>
      </x:c>
      <x:c r="E92" s="30" t="str">
        <x:v>無料・有料プラン、公開求人上限、契約状態を管理する</x:v>
      </x:c>
      <x:c r="F92" s="30" t="str">
        <x:v>運営</x:v>
      </x:c>
      <x:c r="G92" s="30" t="str">
        <x:v>〇</x:v>
      </x:c>
      <x:c r="H92" s="30" t="str">
        <x:v>運営機能</x:v>
      </x:c>
      <x:c r="I92" s="30" t="str">
        <x:v>高</x:v>
      </x:c>
      <x:c r="J92" s="30" t="str">
        <x:v>第1段階</x:v>
      </x:c>
      <x:c r="K92" s="30" t="str">
        <x:v>未着手</x:v>
      </x:c>
      <x:c r="L92" s="30"/>
    </x:row>
    <x:row r="93" ht="30" customHeight="1">
      <x:c r="A93" s="30" t="n">
        <x:v>90</x:v>
      </x:c>
      <x:c r="B93" s="30" t="str">
        <x:v>運営</x:v>
      </x:c>
      <x:c r="C93" s="30" t="str">
        <x:v>料金・契約</x:v>
      </x:c>
      <x:c r="D93" s="30" t="str">
        <x:v>評価協力率計算</x:v>
      </x:c>
      <x:c r="E93" s="30" t="str">
        <x:v>企業の採用者数と評価完了数から評価協力率を計算する</x:v>
      </x:c>
      <x:c r="F93" s="30" t="str">
        <x:v>運営</x:v>
      </x:c>
      <x:c r="G93" s="30" t="str">
        <x:v>〇</x:v>
      </x:c>
      <x:c r="H93" s="30" t="str">
        <x:v>運営機能</x:v>
      </x:c>
      <x:c r="I93" s="30" t="str">
        <x:v>最優先</x:v>
      </x:c>
      <x:c r="J93" s="30" t="str">
        <x:v>第1段階</x:v>
      </x:c>
      <x:c r="K93" s="30" t="str">
        <x:v>未着手</x:v>
      </x:c>
      <x:c r="L93" s="30" t="str">
        <x:v>料金決定に利用</x:v>
      </x:c>
    </x:row>
    <x:row r="94" ht="30" customHeight="1">
      <x:c r="A94" s="30" t="n">
        <x:v>91</x:v>
      </x:c>
      <x:c r="B94" s="30" t="str">
        <x:v>運営</x:v>
      </x:c>
      <x:c r="C94" s="30" t="str">
        <x:v>料金・契約</x:v>
      </x:c>
      <x:c r="D94" s="30" t="str">
        <x:v>月額料金算定</x:v>
      </x:c>
      <x:c r="E94" s="30" t="str">
        <x:v>採用実績と評価協力率から月額6,000～10,000円を算定する</x:v>
      </x:c>
      <x:c r="F94" s="30" t="str">
        <x:v>運営</x:v>
      </x:c>
      <x:c r="G94" s="30" t="str">
        <x:v>〇</x:v>
      </x:c>
      <x:c r="H94" s="30" t="str">
        <x:v>運営機能</x:v>
      </x:c>
      <x:c r="I94" s="30" t="str">
        <x:v>最優先</x:v>
      </x:c>
      <x:c r="J94" s="30" t="str">
        <x:v>第1段階</x:v>
      </x:c>
      <x:c r="K94" s="30" t="str">
        <x:v>未着手</x:v>
      </x:c>
      <x:c r="L94" s="30" t="str">
        <x:v>計算ルールは検討中</x:v>
      </x:c>
    </x:row>
    <x:row r="95" ht="30" customHeight="1">
      <x:c r="A95" s="30" t="n">
        <x:v>92</x:v>
      </x:c>
      <x:c r="B95" s="30" t="str">
        <x:v>運営</x:v>
      </x:c>
      <x:c r="C95" s="30" t="str">
        <x:v>料金・契約</x:v>
      </x:c>
      <x:c r="D95" s="30" t="str">
        <x:v>請求・決済</x:v>
      </x:c>
      <x:c r="E95" s="30" t="str">
        <x:v>企業へ月額料金を請求し支払状況を管理する</x:v>
      </x:c>
      <x:c r="F95" s="30" t="str">
        <x:v>運営・企業</x:v>
      </x:c>
      <x:c r="G95" s="30" t="str">
        <x:v>△</x:v>
      </x:c>
      <x:c r="H95" s="30" t="str">
        <x:v>有料</x:v>
      </x:c>
      <x:c r="I95" s="30" t="str">
        <x:v>高</x:v>
      </x:c>
      <x:c r="J95" s="30" t="str">
        <x:v>第2段階</x:v>
      </x:c>
      <x:c r="K95" s="30" t="str">
        <x:v>未着手</x:v>
      </x:c>
      <x:c r="L95" s="30"/>
    </x:row>
    <x:row r="96" ht="30" customHeight="1">
      <x:c r="A96" s="30" t="n">
        <x:v>93</x:v>
      </x:c>
      <x:c r="B96" s="30" t="str">
        <x:v>運営</x:v>
      </x:c>
      <x:c r="C96" s="30" t="str">
        <x:v>マスタ</x:v>
      </x:c>
      <x:c r="D96" s="30" t="str">
        <x:v>マスタデータ管理</x:v>
      </x:c>
      <x:c r="E96" s="30" t="str">
        <x:v>職種、雇用形態、特徴、都道府県などを管理する</x:v>
      </x:c>
      <x:c r="F96" s="30" t="str">
        <x:v>運営</x:v>
      </x:c>
      <x:c r="G96" s="30" t="str">
        <x:v>〇</x:v>
      </x:c>
      <x:c r="H96" s="30" t="str">
        <x:v>運営機能</x:v>
      </x:c>
      <x:c r="I96" s="30" t="str">
        <x:v>高</x:v>
      </x:c>
      <x:c r="J96" s="30" t="str">
        <x:v>第1段階</x:v>
      </x:c>
      <x:c r="K96" s="30" t="str">
        <x:v>未着手</x:v>
      </x:c>
      <x:c r="L96" s="30"/>
    </x:row>
    <x:row r="97" ht="30" customHeight="1">
      <x:c r="A97" s="30" t="n">
        <x:v>94</x:v>
      </x:c>
      <x:c r="B97" s="30" t="str">
        <x:v>運営</x:v>
      </x:c>
      <x:c r="C97" s="30" t="str">
        <x:v>サポート</x:v>
      </x:c>
      <x:c r="D97" s="30" t="str">
        <x:v>問い合わせ管理</x:v>
      </x:c>
      <x:c r="E97" s="30" t="str">
        <x:v>企業・ユーザーからの問い合わせを管理する</x:v>
      </x:c>
      <x:c r="F97" s="30" t="str">
        <x:v>運営</x:v>
      </x:c>
      <x:c r="G97" s="30" t="str">
        <x:v>〇</x:v>
      </x:c>
      <x:c r="H97" s="30" t="str">
        <x:v>運営機能</x:v>
      </x:c>
      <x:c r="I97" s="30" t="str">
        <x:v>中</x:v>
      </x:c>
      <x:c r="J97" s="30" t="str">
        <x:v>第1段階</x:v>
      </x:c>
      <x:c r="K97" s="30" t="str">
        <x:v>未着手</x:v>
      </x:c>
      <x:c r="L97" s="30"/>
    </x:row>
    <x:row r="98" ht="30" customHeight="1">
      <x:c r="A98" s="30" t="n">
        <x:v>95</x:v>
      </x:c>
      <x:c r="B98" s="30" t="str">
        <x:v>運営</x:v>
      </x:c>
      <x:c r="C98" s="30" t="str">
        <x:v>分析</x:v>
      </x:c>
      <x:c r="D98" s="30" t="str">
        <x:v>利用状況ダッシュボード</x:v>
      </x:c>
      <x:c r="E98" s="30" t="str">
        <x:v>求人、応募、採用、評価、売上の状況を集計する</x:v>
      </x:c>
      <x:c r="F98" s="30" t="str">
        <x:v>運営</x:v>
      </x:c>
      <x:c r="G98" s="30" t="str">
        <x:v>△</x:v>
      </x:c>
      <x:c r="H98" s="30" t="str">
        <x:v>運営機能</x:v>
      </x:c>
      <x:c r="I98" s="30" t="str">
        <x:v>中</x:v>
      </x:c>
      <x:c r="J98" s="30" t="str">
        <x:v>第2段階</x:v>
      </x:c>
      <x:c r="K98" s="30" t="str">
        <x:v>未着手</x:v>
      </x:c>
      <x:c r="L98" s="30"/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be051b9133d2441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</x:cols>
  <x:sheetData>
    <x:row r="1">
      <x:c r="A1" s="22" t="str">
        <x:v>項目</x:v>
      </x:c>
      <x:c r="B1" s="22" t="str">
        <x:v>選択肢</x:v>
      </x:c>
    </x:row>
    <x:row r="2">
      <x:c r="A2" s="30" t="str">
        <x:v>初期公開</x:v>
      </x:c>
      <x:c r="B2" s="30" t="str">
        <x:v>〇</x:v>
      </x:c>
    </x:row>
    <x:row r="3">
      <x:c r="A3" s="30" t="str">
        <x:v>初期公開</x:v>
      </x:c>
      <x:c r="B3" s="30" t="str">
        <x:v>△</x:v>
      </x:c>
    </x:row>
    <x:row r="4">
      <x:c r="A4" s="30" t="str">
        <x:v>初期公開</x:v>
      </x:c>
      <x:c r="B4" s="30" t="str">
        <x:v>×</x:v>
      </x:c>
    </x:row>
    <x:row r="5">
      <x:c r="A5" s="30" t="str">
        <x:v>開発フェーズ</x:v>
      </x:c>
      <x:c r="B5" s="30" t="str">
        <x:v>第1段階</x:v>
      </x:c>
    </x:row>
    <x:row r="6">
      <x:c r="A6" s="30" t="str">
        <x:v>開発フェーズ</x:v>
      </x:c>
      <x:c r="B6" s="30" t="str">
        <x:v>第2段階</x:v>
      </x:c>
    </x:row>
    <x:row r="7">
      <x:c r="A7" s="30" t="str">
        <x:v>開発フェーズ</x:v>
      </x:c>
      <x:c r="B7" s="30" t="str">
        <x:v>第3段階</x:v>
      </x:c>
    </x:row>
    <x:row r="8">
      <x:c r="A8" s="30" t="str">
        <x:v>開発フェーズ</x:v>
      </x:c>
      <x:c r="B8" s="30" t="str">
        <x:v>第4段階</x:v>
      </x:c>
    </x:row>
    <x:row r="9">
      <x:c r="A9" s="30" t="str">
        <x:v>優先度</x:v>
      </x:c>
      <x:c r="B9" s="30" t="str">
        <x:v>最優先</x:v>
      </x:c>
    </x:row>
    <x:row r="10">
      <x:c r="A10" s="30" t="str">
        <x:v>優先度</x:v>
      </x:c>
      <x:c r="B10" s="30" t="str">
        <x:v>高</x:v>
      </x:c>
    </x:row>
    <x:row r="11">
      <x:c r="A11" s="30" t="str">
        <x:v>優先度</x:v>
      </x:c>
      <x:c r="B11" s="30" t="str">
        <x:v>中</x:v>
      </x:c>
    </x:row>
    <x:row r="12">
      <x:c r="A12" s="30" t="str">
        <x:v>優先度</x:v>
      </x:c>
      <x:c r="B12" s="30" t="str">
        <x:v>低</x:v>
      </x:c>
    </x:row>
    <x:row r="13">
      <x:c r="A13" s="30" t="str">
        <x:v>設計状況</x:v>
      </x:c>
      <x:c r="B13" s="30" t="str">
        <x:v>未着手</x:v>
      </x:c>
    </x:row>
    <x:row r="14">
      <x:c r="A14" s="30" t="str">
        <x:v>設計状況</x:v>
      </x:c>
      <x:c r="B14" s="30" t="str">
        <x:v>画面設計中</x:v>
      </x:c>
    </x:row>
    <x:row r="15">
      <x:c r="A15" s="30" t="str">
        <x:v>設計状況</x:v>
      </x:c>
      <x:c r="B15" s="30" t="str">
        <x:v>デザイン済み</x:v>
      </x:c>
    </x:row>
    <x:row r="16">
      <x:c r="A16" s="30" t="str">
        <x:v>設計状況</x:v>
      </x:c>
      <x:c r="B16" s="30" t="str">
        <x:v>実装中</x:v>
      </x:c>
    </x:row>
    <x:row r="17">
      <x:c r="A17" s="30" t="str">
        <x:v>設計状況</x:v>
      </x:c>
      <x:c r="B17" s="30" t="str">
        <x:v>テスト中</x:v>
      </x:c>
    </x:row>
    <x:row r="18">
      <x:c r="A18" s="30" t="str">
        <x:v>設計状況</x:v>
      </x:c>
      <x:c r="B18" s="30" t="str">
        <x:v>完了</x:v>
      </x:c>
    </x:row>
    <x:row r="19">
      <x:c r="A19" s="30" t="str">
        <x:v>設計状況</x:v>
      </x:c>
      <x:c r="B19" s="30" t="str">
        <x:v>保留</x:v>
      </x:c>
    </x:row>
    <x:row r="20">
      <x:c r="A20" s="30" t="str">
        <x:v>画面種別</x:v>
      </x:c>
      <x:c r="B20" s="30" t="str">
        <x:v>ページ</x:v>
      </x:c>
    </x:row>
    <x:row r="21">
      <x:c r="A21" s="30" t="str">
        <x:v>画面種別</x:v>
      </x:c>
      <x:c r="B21" s="30" t="str">
        <x:v>ダイアログ</x:v>
      </x:c>
    </x:row>
    <x:row r="22">
      <x:c r="A22" s="30" t="str">
        <x:v>画面種別</x:v>
      </x:c>
      <x:c r="B22" s="30" t="str">
        <x:v>ページ／ダイアログ</x:v>
      </x:c>
    </x:row>
  </x:sheetData>
  <x:pageMargins left="0.7" right="0.7" top="0.75" bottom="0.75" header="0.3" footer="0.3"/>
  <x:tableParts count="1">
    <x:tablePart xmlns:r="http://schemas.openxmlformats.org/officeDocument/2006/relationships" r:id="R61b357b2dc8e45a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3" hidden="0" customWidth="1"/>
    <x:col min="3" max="3" width="14" hidden="0" customWidth="1"/>
    <x:col min="4" max="4" width="11" hidden="0" customWidth="1"/>
    <x:col min="5" max="5" width="14" hidden="0" customWidth="1"/>
    <x:col min="6" max="6" width="24" hidden="0" customWidth="1"/>
    <x:col min="7" max="7" width="13" hidden="0" customWidth="1"/>
    <x:col min="8" max="8" width="11" hidden="0" customWidth="1"/>
    <x:col min="9" max="9" width="38" hidden="0" customWidth="1"/>
    <x:col min="10" max="10" width="31" hidden="0" customWidth="1"/>
    <x:col min="11" max="11" width="28" hidden="0" customWidth="1"/>
    <x:col min="12" max="12" width="36" hidden="0" customWidth="1"/>
    <x:col min="13" max="13" width="11" hidden="0" customWidth="1"/>
    <x:col min="14" max="14" width="31" hidden="0" customWidth="1"/>
    <x:col min="15" max="15" width="27" hidden="0" customWidth="1"/>
    <x:col min="16" max="16" width="34" hidden="0" customWidth="1"/>
    <x:col min="17" max="17" width="9" hidden="0" customWidth="1"/>
    <x:col min="18" max="18" width="12" hidden="0" customWidth="1"/>
    <x:col min="19" max="19" width="34" hidden="0" customWidth="1"/>
  </x:cols>
  <x:sheetData>
    <x:row r="1" ht="28" customHeight="1">
      <x:c r="A1" s="39" t="str">
        <x:v>求人・雇用管理プラットフォーム　ルーティング一覧</x:v>
      </x:c>
      <x:c r="B1" s="39"/>
      <x:c r="C1" s="39"/>
      <x:c r="D1" s="39"/>
      <x:c r="E1" s="39"/>
      <x:c r="F1" s="39"/>
      <x:c r="G1" s="39"/>
      <x:c r="H1" s="39"/>
      <x:c r="I1" s="39"/>
      <x:c r="J1" s="39"/>
      <x:c r="K1" s="39"/>
      <x:c r="L1" s="39"/>
      <x:c r="M1" s="39"/>
      <x:c r="N1" s="39"/>
      <x:c r="O1" s="39"/>
      <x:c r="P1" s="39"/>
      <x:c r="Q1" s="39"/>
      <x:c r="R1" s="39"/>
      <x:c r="S1" s="39"/>
    </x:row>
    <x:row r="2" ht="32" customHeight="1">
      <x:c r="A2" s="43" t="str">
        <x:v>画面一覧116件を基に、Spring Boot＋Thymeleafを想定した画面表示・登録・更新・承認ルートを整理しています。URL、クラス名、権限は実装時に調整してください。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</x:row>
    <x:row r="3" ht="36" customHeight="1">
      <x:c r="A3" s="55" t="str">
        <x:v>No.</x:v>
      </x:c>
      <x:c r="B3" s="56" t="str">
        <x:v>ルーティングID</x:v>
      </x:c>
      <x:c r="C3" s="56" t="str">
        <x:v>画面ID</x:v>
      </x:c>
      <x:c r="D3" s="56" t="str">
        <x:v>利用者区分</x:v>
      </x:c>
      <x:c r="E3" s="56" t="str">
        <x:v>画面分類</x:v>
      </x:c>
      <x:c r="F3" s="56" t="str">
        <x:v>画面名</x:v>
      </x:c>
      <x:c r="G3" s="56" t="str">
        <x:v>ルート種別</x:v>
      </x:c>
      <x:c r="H3" s="56" t="str">
        <x:v>HTTPメソッド</x:v>
      </x:c>
      <x:c r="I3" s="56" t="str">
        <x:v>URLパターン</x:v>
      </x:c>
      <x:c r="J3" s="56" t="str">
        <x:v>Controllerクラス案</x:v>
      </x:c>
      <x:c r="K3" s="56" t="str">
        <x:v>Handlerメソッド案</x:v>
      </x:c>
      <x:c r="L3" s="56" t="str">
        <x:v>Thymeleafテンプレート／レスポンス</x:v>
      </x:c>
      <x:c r="M3" s="56" t="str">
        <x:v>認証</x:v>
      </x:c>
      <x:c r="N3" s="56" t="str">
        <x:v>Spring Security権限案</x:v>
      </x:c>
      <x:c r="O3" s="56" t="str">
        <x:v>正常時遷移</x:v>
      </x:c>
      <x:c r="P3" s="56" t="str">
        <x:v>エラー時処理</x:v>
      </x:c>
      <x:c r="Q3" s="56" t="str">
        <x:v>初期公開</x:v>
      </x:c>
      <x:c r="R3" s="56" t="str">
        <x:v>開発フェーズ</x:v>
      </x:c>
      <x:c r="S3" s="57" t="str">
        <x:v>備考</x:v>
      </x:c>
    </x:row>
    <x:row r="4" ht="42" customHeight="1">
      <x:c r="A4" s="85" t="n">
        <x:v>1</x:v>
      </x:c>
      <x:c r="B4" s="86" t="str">
        <x:v>RT-0001</x:v>
      </x:c>
      <x:c r="C4" s="86" t="str">
        <x:v>SC-PB-001</x:v>
      </x:c>
      <x:c r="D4" s="86" t="str">
        <x:v>公開</x:v>
      </x:c>
      <x:c r="E4" s="86" t="str">
        <x:v>基本</x:v>
      </x:c>
      <x:c r="F4" s="86" t="str">
        <x:v>トップページ</x:v>
      </x:c>
      <x:c r="G4" s="86" t="str">
        <x:v>画面表示</x:v>
      </x:c>
      <x:c r="H4" s="86" t="str">
        <x:v>GET</x:v>
      </x:c>
      <x:c r="I4" s="86" t="str">
        <x:v>/</x:v>
      </x:c>
      <x:c r="J4" s="86" t="str">
        <x:v>HomeController</x:v>
      </x:c>
      <x:c r="K4" s="86" t="str">
        <x:v>show_sc_pb_001</x:v>
      </x:c>
      <x:c r="L4" s="86" t="str">
        <x:v>public/index</x:v>
      </x:c>
      <x:c r="M4" s="86" t="str">
        <x:v>不要</x:v>
      </x:c>
      <x:c r="N4" s="86" t="str">
        <x:v>permitAll</x:v>
      </x:c>
      <x:c r="O4" s="86" t="str">
        <x:v>同画面を表示</x:v>
      </x:c>
      <x:c r="P4" s="86" t="str">
        <x:v>権限エラーは /error/access、データなしは404画面</x:v>
      </x:c>
      <x:c r="Q4" s="86" t="str">
        <x:v>〇</x:v>
      </x:c>
      <x:c r="R4" s="86" t="str">
        <x:v>第1段階</x:v>
      </x:c>
      <x:c r="S4" s="87" t="str">
        <x:v>画面一覧のURL案を基に作成</x:v>
      </x:c>
    </x:row>
    <x:row r="5" ht="42" customHeight="1">
      <x:c r="A5" s="79" t="n">
        <x:v>2</x:v>
      </x:c>
      <x:c r="B5" s="80" t="str">
        <x:v>RT-0002</x:v>
      </x:c>
      <x:c r="C5" s="80" t="str">
        <x:v>SC-PB-002</x:v>
      </x:c>
      <x:c r="D5" s="80" t="str">
        <x:v>公開</x:v>
      </x:c>
      <x:c r="E5" s="80" t="str">
        <x:v>求人検索</x:v>
      </x:c>
      <x:c r="F5" s="80" t="str">
        <x:v>求人検索・一覧</x:v>
      </x:c>
      <x:c r="G5" s="80" t="str">
        <x:v>画面表示</x:v>
      </x:c>
      <x:c r="H5" s="80" t="str">
        <x:v>GET</x:v>
      </x:c>
      <x:c r="I5" s="80" t="str">
        <x:v>/jobs</x:v>
      </x:c>
      <x:c r="J5" s="80" t="str">
        <x:v>PublicJobController</x:v>
      </x:c>
      <x:c r="K5" s="80" t="str">
        <x:v>show_sc_pb_002</x:v>
      </x:c>
      <x:c r="L5" s="80" t="str">
        <x:v>public/jobs</x:v>
      </x:c>
      <x:c r="M5" s="80" t="str">
        <x:v>不要</x:v>
      </x:c>
      <x:c r="N5" s="80" t="str">
        <x:v>permitAll</x:v>
      </x:c>
      <x:c r="O5" s="80" t="str">
        <x:v>同画面を表示</x:v>
      </x:c>
      <x:c r="P5" s="80" t="str">
        <x:v>権限エラーは /error/access、データなしは404画面</x:v>
      </x:c>
      <x:c r="Q5" s="80" t="str">
        <x:v>〇</x:v>
      </x:c>
      <x:c r="R5" s="80" t="str">
        <x:v>第1段階</x:v>
      </x:c>
      <x:c r="S5" s="81" t="str">
        <x:v>画面一覧のURL案を基に作成</x:v>
      </x:c>
    </x:row>
    <x:row r="6" ht="42" customHeight="1">
      <x:c r="A6" s="88" t="n">
        <x:v>3</x:v>
      </x:c>
      <x:c r="B6" s="89" t="str">
        <x:v>RT-0003</x:v>
      </x:c>
      <x:c r="C6" s="89" t="str">
        <x:v>SC-PB-003</x:v>
      </x:c>
      <x:c r="D6" s="89" t="str">
        <x:v>公開</x:v>
      </x:c>
      <x:c r="E6" s="89" t="str">
        <x:v>求人検索</x:v>
      </x:c>
      <x:c r="F6" s="89" t="str">
        <x:v>求人詳細</x:v>
      </x:c>
      <x:c r="G6" s="89" t="str">
        <x:v>画面表示</x:v>
      </x:c>
      <x:c r="H6" s="89" t="str">
        <x:v>GET</x:v>
      </x:c>
      <x:c r="I6" s="89" t="str">
        <x:v>/jobs/{jobId}</x:v>
      </x:c>
      <x:c r="J6" s="89" t="str">
        <x:v>PublicJobController</x:v>
      </x:c>
      <x:c r="K6" s="89" t="str">
        <x:v>show_sc_pb_003</x:v>
      </x:c>
      <x:c r="L6" s="89" t="str">
        <x:v>public/jobs/detail</x:v>
      </x:c>
      <x:c r="M6" s="89" t="str">
        <x:v>不要</x:v>
      </x:c>
      <x:c r="N6" s="89" t="str">
        <x:v>permitAll</x:v>
      </x:c>
      <x:c r="O6" s="89" t="str">
        <x:v>同画面を表示</x:v>
      </x:c>
      <x:c r="P6" s="89" t="str">
        <x:v>権限エラーは /error/access、データなしは404画面</x:v>
      </x:c>
      <x:c r="Q6" s="89" t="str">
        <x:v>〇</x:v>
      </x:c>
      <x:c r="R6" s="89" t="str">
        <x:v>第1段階</x:v>
      </x:c>
      <x:c r="S6" s="90" t="str">
        <x:v>画面一覧のURL案を基に作成</x:v>
      </x:c>
    </x:row>
    <x:row r="7" ht="42" customHeight="1">
      <x:c r="A7" s="79" t="n">
        <x:v>4</x:v>
      </x:c>
      <x:c r="B7" s="80" t="str">
        <x:v>RT-0004</x:v>
      </x:c>
      <x:c r="C7" s="80" t="str">
        <x:v>SC-PB-004</x:v>
      </x:c>
      <x:c r="D7" s="80" t="str">
        <x:v>公開</x:v>
      </x:c>
      <x:c r="E7" s="80" t="str">
        <x:v>企業情報</x:v>
      </x:c>
      <x:c r="F7" s="80" t="str">
        <x:v>企業公開プロフィール</x:v>
      </x:c>
      <x:c r="G7" s="80" t="str">
        <x:v>画面表示</x:v>
      </x:c>
      <x:c r="H7" s="80" t="str">
        <x:v>GET</x:v>
      </x:c>
      <x:c r="I7" s="80" t="str">
        <x:v>/companies/{companyId}</x:v>
      </x:c>
      <x:c r="J7" s="80" t="str">
        <x:v>PublicCompanyController</x:v>
      </x:c>
      <x:c r="K7" s="80" t="str">
        <x:v>show_sc_pb_004</x:v>
      </x:c>
      <x:c r="L7" s="80" t="str">
        <x:v>public/companies/detail</x:v>
      </x:c>
      <x:c r="M7" s="80" t="str">
        <x:v>不要</x:v>
      </x:c>
      <x:c r="N7" s="80" t="str">
        <x:v>permitAll</x:v>
      </x:c>
      <x:c r="O7" s="80" t="str">
        <x:v>同画面を表示</x:v>
      </x:c>
      <x:c r="P7" s="80" t="str">
        <x:v>権限エラーは /error/access、データなしは404画面</x:v>
      </x:c>
      <x:c r="Q7" s="80" t="str">
        <x:v>〇</x:v>
      </x:c>
      <x:c r="R7" s="80" t="str">
        <x:v>第1段階</x:v>
      </x:c>
      <x:c r="S7" s="81" t="str">
        <x:v>画面一覧のURL案を基に作成</x:v>
      </x:c>
    </x:row>
    <x:row r="8" ht="42" customHeight="1">
      <x:c r="A8" s="88" t="n">
        <x:v>5</x:v>
      </x:c>
      <x:c r="B8" s="89" t="str">
        <x:v>RT-0005</x:v>
      </x:c>
      <x:c r="C8" s="89" t="str">
        <x:v>SC-PB-005</x:v>
      </x:c>
      <x:c r="D8" s="89" t="str">
        <x:v>公開</x:v>
      </x:c>
      <x:c r="E8" s="89" t="str">
        <x:v>評価</x:v>
      </x:c>
      <x:c r="F8" s="89" t="str">
        <x:v>企業評価一覧</x:v>
      </x:c>
      <x:c r="G8" s="89" t="str">
        <x:v>画面表示</x:v>
      </x:c>
      <x:c r="H8" s="89" t="str">
        <x:v>GET</x:v>
      </x:c>
      <x:c r="I8" s="89" t="str">
        <x:v>/companies/{companyId}/reviews</x:v>
      </x:c>
      <x:c r="J8" s="89" t="str">
        <x:v>PublicCompanyController</x:v>
      </x:c>
      <x:c r="K8" s="89" t="str">
        <x:v>show_sc_pb_005</x:v>
      </x:c>
      <x:c r="L8" s="89" t="str">
        <x:v>public/companies/reviews</x:v>
      </x:c>
      <x:c r="M8" s="89" t="str">
        <x:v>不要</x:v>
      </x:c>
      <x:c r="N8" s="89" t="str">
        <x:v>permitAll</x:v>
      </x:c>
      <x:c r="O8" s="89" t="str">
        <x:v>同画面を表示</x:v>
      </x:c>
      <x:c r="P8" s="89" t="str">
        <x:v>権限エラーは /error/access、データなしは404画面</x:v>
      </x:c>
      <x:c r="Q8" s="89" t="str">
        <x:v>〇</x:v>
      </x:c>
      <x:c r="R8" s="89" t="str">
        <x:v>第1段階</x:v>
      </x:c>
      <x:c r="S8" s="90" t="str">
        <x:v>画面一覧のURL案を基に作成</x:v>
      </x:c>
    </x:row>
    <x:row r="9" ht="42" customHeight="1">
      <x:c r="A9" s="79" t="n">
        <x:v>6</x:v>
      </x:c>
      <x:c r="B9" s="80" t="str">
        <x:v>RT-0006</x:v>
      </x:c>
      <x:c r="C9" s="80" t="str">
        <x:v>SC-PB-006</x:v>
      </x:c>
      <x:c r="D9" s="80" t="str">
        <x:v>共通</x:v>
      </x:c>
      <x:c r="E9" s="80" t="str">
        <x:v>認証</x:v>
      </x:c>
      <x:c r="F9" s="80" t="str">
        <x:v>ログイン</x:v>
      </x:c>
      <x:c r="G9" s="80" t="str">
        <x:v>画面表示</x:v>
      </x:c>
      <x:c r="H9" s="80" t="str">
        <x:v>GET</x:v>
      </x:c>
      <x:c r="I9" s="80" t="str">
        <x:v>/login</x:v>
      </x:c>
      <x:c r="J9" s="80" t="str">
        <x:v>AuthenticationController</x:v>
      </x:c>
      <x:c r="K9" s="80" t="str">
        <x:v>show_sc_pb_006</x:v>
      </x:c>
      <x:c r="L9" s="80" t="str">
        <x:v>auth/login</x:v>
      </x:c>
      <x:c r="M9" s="80" t="str">
        <x:v>不要</x:v>
      </x:c>
      <x:c r="N9" s="80" t="str">
        <x:v>permitAll</x:v>
      </x:c>
      <x:c r="O9" s="80" t="str">
        <x:v>同画面を表示</x:v>
      </x:c>
      <x:c r="P9" s="80" t="str">
        <x:v>権限エラーは /error/access、データなしは404画面</x:v>
      </x:c>
      <x:c r="Q9" s="80" t="str">
        <x:v>〇</x:v>
      </x:c>
      <x:c r="R9" s="80" t="str">
        <x:v>第1段階</x:v>
      </x:c>
      <x:c r="S9" s="81" t="str">
        <x:v>画面一覧のURL案を基に作成</x:v>
      </x:c>
    </x:row>
    <x:row r="10" ht="42" customHeight="1">
      <x:c r="A10" s="88" t="n">
        <x:v>7</x:v>
      </x:c>
      <x:c r="B10" s="89" t="str">
        <x:v>RT-0007</x:v>
      </x:c>
      <x:c r="C10" s="89" t="str">
        <x:v>SC-PB-006</x:v>
      </x:c>
      <x:c r="D10" s="89" t="str">
        <x:v>共通</x:v>
      </x:c>
      <x:c r="E10" s="89" t="str">
        <x:v>認証</x:v>
      </x:c>
      <x:c r="F10" s="89" t="str">
        <x:v>ログイン</x:v>
      </x:c>
      <x:c r="G10" s="89" t="str">
        <x:v>認証</x:v>
      </x:c>
      <x:c r="H10" s="89" t="str">
        <x:v>POST</x:v>
      </x:c>
      <x:c r="I10" s="89" t="str">
        <x:v>/login</x:v>
      </x:c>
      <x:c r="J10" s="89" t="str">
        <x:v>AuthenticationController</x:v>
      </x:c>
      <x:c r="K10" s="89" t="str">
        <x:v>authenticate_sc_pb_006</x:v>
      </x:c>
      <x:c r="L10" s="89" t="str">
        <x:v>redirect またはファイルレスポンス</x:v>
      </x:c>
      <x:c r="M10" s="89" t="str">
        <x:v>不要</x:v>
      </x:c>
      <x:c r="N10" s="89" t="str">
        <x:v>permitAll</x:v>
      </x:c>
      <x:c r="O10" s="89" t="str">
        <x:v>権限別ダッシュボードへ</x:v>
      </x:c>
      <x:c r="P10" s="89" t="str">
        <x:v>入力エラーは元画面へ戻す。業務エラーはメッセージ表示</x:v>
      </x:c>
      <x:c r="Q10" s="89" t="str">
        <x:v>〇</x:v>
      </x:c>
      <x:c r="R10" s="89" t="str">
        <x:v>第1段階</x:v>
      </x:c>
      <x:c r="S10" s="90" t="str">
        <x:v>POSTはCSRF有効。更新処理はService層で権限・所有者を再確認</x:v>
      </x:c>
    </x:row>
    <x:row r="11" ht="42" customHeight="1">
      <x:c r="A11" s="79" t="n">
        <x:v>8</x:v>
      </x:c>
      <x:c r="B11" s="80" t="str">
        <x:v>RT-0008</x:v>
      </x:c>
      <x:c r="C11" s="80" t="str">
        <x:v>SC-PB-007</x:v>
      </x:c>
      <x:c r="D11" s="80" t="str">
        <x:v>ユーザー</x:v>
      </x:c>
      <x:c r="E11" s="80" t="str">
        <x:v>認証</x:v>
      </x:c>
      <x:c r="F11" s="80" t="str">
        <x:v>ユーザー新規登録</x:v>
      </x:c>
      <x:c r="G11" s="80" t="str">
        <x:v>画面表示</x:v>
      </x:c>
      <x:c r="H11" s="80" t="str">
        <x:v>GET</x:v>
      </x:c>
      <x:c r="I11" s="80" t="str">
        <x:v>/signup/user</x:v>
      </x:c>
      <x:c r="J11" s="80" t="str">
        <x:v>AuthenticationController</x:v>
      </x:c>
      <x:c r="K11" s="80" t="str">
        <x:v>show_sc_pb_007</x:v>
      </x:c>
      <x:c r="L11" s="80" t="str">
        <x:v>auth/signup/user</x:v>
      </x:c>
      <x:c r="M11" s="80" t="str">
        <x:v>不要</x:v>
      </x:c>
      <x:c r="N11" s="80" t="str">
        <x:v>permitAll</x:v>
      </x:c>
      <x:c r="O11" s="80" t="str">
        <x:v>同画面を表示</x:v>
      </x:c>
      <x:c r="P11" s="80" t="str">
        <x:v>権限エラーは /error/access、データなしは404画面</x:v>
      </x:c>
      <x:c r="Q11" s="80" t="str">
        <x:v>〇</x:v>
      </x:c>
      <x:c r="R11" s="80" t="str">
        <x:v>第1段階</x:v>
      </x:c>
      <x:c r="S11" s="81" t="str">
        <x:v>画面一覧のURL案を基に作成</x:v>
      </x:c>
    </x:row>
    <x:row r="12" ht="42" customHeight="1">
      <x:c r="A12" s="88" t="n">
        <x:v>9</x:v>
      </x:c>
      <x:c r="B12" s="89" t="str">
        <x:v>RT-0009</x:v>
      </x:c>
      <x:c r="C12" s="89" t="str">
        <x:v>SC-PB-007</x:v>
      </x:c>
      <x:c r="D12" s="89" t="str">
        <x:v>ユーザー</x:v>
      </x:c>
      <x:c r="E12" s="89" t="str">
        <x:v>認証</x:v>
      </x:c>
      <x:c r="F12" s="89" t="str">
        <x:v>ユーザー新規登録</x:v>
      </x:c>
      <x:c r="G12" s="89" t="str">
        <x:v>登録</x:v>
      </x:c>
      <x:c r="H12" s="89" t="str">
        <x:v>POST</x:v>
      </x:c>
      <x:c r="I12" s="89" t="str">
        <x:v>/signup/user</x:v>
      </x:c>
      <x:c r="J12" s="89" t="str">
        <x:v>AuthenticationController</x:v>
      </x:c>
      <x:c r="K12" s="89" t="str">
        <x:v>register_sc_pb_007</x:v>
      </x:c>
      <x:c r="L12" s="89" t="str">
        <x:v>redirect またはファイルレスポンス</x:v>
      </x:c>
      <x:c r="M12" s="89" t="str">
        <x:v>不要</x:v>
      </x:c>
      <x:c r="N12" s="89" t="str">
        <x:v>permitAll</x:v>
      </x:c>
      <x:c r="O12" s="89" t="str">
        <x:v>メール認証案内へ</x:v>
      </x:c>
      <x:c r="P12" s="89" t="str">
        <x:v>入力エラーは元画面へ戻す。業務エラーはメッセージ表示</x:v>
      </x:c>
      <x:c r="Q12" s="89" t="str">
        <x:v>〇</x:v>
      </x:c>
      <x:c r="R12" s="89" t="str">
        <x:v>第1段階</x:v>
      </x:c>
      <x:c r="S12" s="90" t="str">
        <x:v>POSTはCSRF有効。更新処理はService層で権限・所有者を再確認</x:v>
      </x:c>
    </x:row>
    <x:row r="13" ht="42" customHeight="1">
      <x:c r="A13" s="79" t="n">
        <x:v>10</x:v>
      </x:c>
      <x:c r="B13" s="80" t="str">
        <x:v>RT-0010</x:v>
      </x:c>
      <x:c r="C13" s="80" t="str">
        <x:v>SC-PB-008</x:v>
      </x:c>
      <x:c r="D13" s="80" t="str">
        <x:v>企業</x:v>
      </x:c>
      <x:c r="E13" s="80" t="str">
        <x:v>認証</x:v>
      </x:c>
      <x:c r="F13" s="80" t="str">
        <x:v>企業アカウント新規登録</x:v>
      </x:c>
      <x:c r="G13" s="80" t="str">
        <x:v>画面表示</x:v>
      </x:c>
      <x:c r="H13" s="80" t="str">
        <x:v>GET</x:v>
      </x:c>
      <x:c r="I13" s="80" t="str">
        <x:v>/signup/company</x:v>
      </x:c>
      <x:c r="J13" s="80" t="str">
        <x:v>AuthenticationController</x:v>
      </x:c>
      <x:c r="K13" s="80" t="str">
        <x:v>show_sc_pb_008</x:v>
      </x:c>
      <x:c r="L13" s="80" t="str">
        <x:v>auth/signup/company</x:v>
      </x:c>
      <x:c r="M13" s="80" t="str">
        <x:v>不要</x:v>
      </x:c>
      <x:c r="N13" s="80" t="str">
        <x:v>permitAll</x:v>
      </x:c>
      <x:c r="O13" s="80" t="str">
        <x:v>同画面を表示</x:v>
      </x:c>
      <x:c r="P13" s="80" t="str">
        <x:v>権限エラーは /error/access、データなしは404画面</x:v>
      </x:c>
      <x:c r="Q13" s="80" t="str">
        <x:v>〇</x:v>
      </x:c>
      <x:c r="R13" s="80" t="str">
        <x:v>第1段階</x:v>
      </x:c>
      <x:c r="S13" s="81" t="str">
        <x:v>画面一覧のURL案を基に作成</x:v>
      </x:c>
    </x:row>
    <x:row r="14" ht="42" customHeight="1">
      <x:c r="A14" s="88" t="n">
        <x:v>11</x:v>
      </x:c>
      <x:c r="B14" s="89" t="str">
        <x:v>RT-0011</x:v>
      </x:c>
      <x:c r="C14" s="89" t="str">
        <x:v>SC-PB-008</x:v>
      </x:c>
      <x:c r="D14" s="89" t="str">
        <x:v>企業</x:v>
      </x:c>
      <x:c r="E14" s="89" t="str">
        <x:v>認証</x:v>
      </x:c>
      <x:c r="F14" s="89" t="str">
        <x:v>企業アカウント新規登録</x:v>
      </x:c>
      <x:c r="G14" s="89" t="str">
        <x:v>登録</x:v>
      </x:c>
      <x:c r="H14" s="89" t="str">
        <x:v>POST</x:v>
      </x:c>
      <x:c r="I14" s="89" t="str">
        <x:v>/signup/company</x:v>
      </x:c>
      <x:c r="J14" s="89" t="str">
        <x:v>AuthenticationController</x:v>
      </x:c>
      <x:c r="K14" s="89" t="str">
        <x:v>register_sc_pb_008</x:v>
      </x:c>
      <x:c r="L14" s="89" t="str">
        <x:v>redirect またはファイルレスポンス</x:v>
      </x:c>
      <x:c r="M14" s="89" t="str">
        <x:v>不要</x:v>
      </x:c>
      <x:c r="N14" s="89" t="str">
        <x:v>permitAll</x:v>
      </x:c>
      <x:c r="O14" s="89" t="str">
        <x:v>メール認証案内へ</x:v>
      </x:c>
      <x:c r="P14" s="89" t="str">
        <x:v>入力エラーは元画面へ戻す。業務エラーはメッセージ表示</x:v>
      </x:c>
      <x:c r="Q14" s="89" t="str">
        <x:v>〇</x:v>
      </x:c>
      <x:c r="R14" s="89" t="str">
        <x:v>第1段階</x:v>
      </x:c>
      <x:c r="S14" s="90" t="str">
        <x:v>POSTはCSRF有効。更新処理はService層で権限・所有者を再確認</x:v>
      </x:c>
    </x:row>
    <x:row r="15" ht="42" customHeight="1">
      <x:c r="A15" s="79" t="n">
        <x:v>12</x:v>
      </x:c>
      <x:c r="B15" s="80" t="str">
        <x:v>RT-0012</x:v>
      </x:c>
      <x:c r="C15" s="80" t="str">
        <x:v>SC-PB-009</x:v>
      </x:c>
      <x:c r="D15" s="80" t="str">
        <x:v>共通</x:v>
      </x:c>
      <x:c r="E15" s="80" t="str">
        <x:v>認証</x:v>
      </x:c>
      <x:c r="F15" s="80" t="str">
        <x:v>メール認証案内</x:v>
      </x:c>
      <x:c r="G15" s="80" t="str">
        <x:v>画面表示</x:v>
      </x:c>
      <x:c r="H15" s="80" t="str">
        <x:v>GET</x:v>
      </x:c>
      <x:c r="I15" s="80" t="str">
        <x:v>/verify-email</x:v>
      </x:c>
      <x:c r="J15" s="80" t="str">
        <x:v>AuthenticationController</x:v>
      </x:c>
      <x:c r="K15" s="80" t="str">
        <x:v>show_sc_pb_009</x:v>
      </x:c>
      <x:c r="L15" s="80" t="str">
        <x:v>auth/verify-email</x:v>
      </x:c>
      <x:c r="M15" s="80" t="str">
        <x:v>一部必要</x:v>
      </x:c>
      <x:c r="N15" s="80" t="str">
        <x:v>permitAll / authenticated()</x:v>
      </x:c>
      <x:c r="O15" s="80" t="str">
        <x:v>同画面を表示</x:v>
      </x:c>
      <x:c r="P15" s="80" t="str">
        <x:v>権限エラーは /error/access、データなしは404画面</x:v>
      </x:c>
      <x:c r="Q15" s="80" t="str">
        <x:v>〇</x:v>
      </x:c>
      <x:c r="R15" s="80" t="str">
        <x:v>第1段階</x:v>
      </x:c>
      <x:c r="S15" s="81" t="str">
        <x:v>画面一覧のURL案を基に作成</x:v>
      </x:c>
    </x:row>
    <x:row r="16" ht="42" customHeight="1">
      <x:c r="A16" s="88" t="n">
        <x:v>13</x:v>
      </x:c>
      <x:c r="B16" s="89" t="str">
        <x:v>RT-0013</x:v>
      </x:c>
      <x:c r="C16" s="89" t="str">
        <x:v>SC-PB-009</x:v>
      </x:c>
      <x:c r="D16" s="89" t="str">
        <x:v>共通</x:v>
      </x:c>
      <x:c r="E16" s="89" t="str">
        <x:v>認証</x:v>
      </x:c>
      <x:c r="F16" s="89" t="str">
        <x:v>メール認証案内</x:v>
      </x:c>
      <x:c r="G16" s="89" t="str">
        <x:v>再送信</x:v>
      </x:c>
      <x:c r="H16" s="89" t="str">
        <x:v>POST</x:v>
      </x:c>
      <x:c r="I16" s="89" t="str">
        <x:v>/verify-email/resend</x:v>
      </x:c>
      <x:c r="J16" s="89" t="str">
        <x:v>AuthenticationController</x:v>
      </x:c>
      <x:c r="K16" s="89" t="str">
        <x:v>resend_sc_pb_009</x:v>
      </x:c>
      <x:c r="L16" s="89" t="str">
        <x:v>redirect またはファイルレスポンス</x:v>
      </x:c>
      <x:c r="M16" s="89" t="str">
        <x:v>一部必要</x:v>
      </x:c>
      <x:c r="N16" s="89" t="str">
        <x:v>permitAll / authenticated()</x:v>
      </x:c>
      <x:c r="O16" s="89" t="str">
        <x:v>同画面へ</x:v>
      </x:c>
      <x:c r="P16" s="89" t="str">
        <x:v>入力エラーは元画面へ戻す。業務エラーはメッセージ表示</x:v>
      </x:c>
      <x:c r="Q16" s="89" t="str">
        <x:v>〇</x:v>
      </x:c>
      <x:c r="R16" s="89" t="str">
        <x:v>第1段階</x:v>
      </x:c>
      <x:c r="S16" s="90" t="str">
        <x:v>POSTはCSRF有効。更新処理はService層で権限・所有者を再確認</x:v>
      </x:c>
    </x:row>
    <x:row r="17" ht="42" customHeight="1">
      <x:c r="A17" s="79" t="n">
        <x:v>14</x:v>
      </x:c>
      <x:c r="B17" s="80" t="str">
        <x:v>RT-0014</x:v>
      </x:c>
      <x:c r="C17" s="80" t="str">
        <x:v>SC-PB-010</x:v>
      </x:c>
      <x:c r="D17" s="80" t="str">
        <x:v>共通</x:v>
      </x:c>
      <x:c r="E17" s="80" t="str">
        <x:v>認証</x:v>
      </x:c>
      <x:c r="F17" s="80" t="str">
        <x:v>メール認証完了</x:v>
      </x:c>
      <x:c r="G17" s="80" t="str">
        <x:v>画面表示</x:v>
      </x:c>
      <x:c r="H17" s="80" t="str">
        <x:v>GET</x:v>
      </x:c>
      <x:c r="I17" s="80" t="str">
        <x:v>/verify-email/complete</x:v>
      </x:c>
      <x:c r="J17" s="80" t="str">
        <x:v>AuthenticationController</x:v>
      </x:c>
      <x:c r="K17" s="80" t="str">
        <x:v>show_sc_pb_010</x:v>
      </x:c>
      <x:c r="L17" s="80" t="str">
        <x:v>auth/verify-email/complete</x:v>
      </x:c>
      <x:c r="M17" s="80" t="str">
        <x:v>不要</x:v>
      </x:c>
      <x:c r="N17" s="80" t="str">
        <x:v>permitAll</x:v>
      </x:c>
      <x:c r="O17" s="80" t="str">
        <x:v>同画面を表示</x:v>
      </x:c>
      <x:c r="P17" s="80" t="str">
        <x:v>権限エラーは /error/access、データなしは404画面</x:v>
      </x:c>
      <x:c r="Q17" s="80" t="str">
        <x:v>〇</x:v>
      </x:c>
      <x:c r="R17" s="80" t="str">
        <x:v>第1段階</x:v>
      </x:c>
      <x:c r="S17" s="81" t="str">
        <x:v>画面一覧のURL案を基に作成</x:v>
      </x:c>
    </x:row>
    <x:row r="18" ht="42" customHeight="1">
      <x:c r="A18" s="88" t="n">
        <x:v>15</x:v>
      </x:c>
      <x:c r="B18" s="89" t="str">
        <x:v>RT-0015</x:v>
      </x:c>
      <x:c r="C18" s="89" t="str">
        <x:v>SC-PB-011</x:v>
      </x:c>
      <x:c r="D18" s="89" t="str">
        <x:v>共通</x:v>
      </x:c>
      <x:c r="E18" s="89" t="str">
        <x:v>認証</x:v>
      </x:c>
      <x:c r="F18" s="89" t="str">
        <x:v>パスワード再設定申請</x:v>
      </x:c>
      <x:c r="G18" s="89" t="str">
        <x:v>画面表示</x:v>
      </x:c>
      <x:c r="H18" s="89" t="str">
        <x:v>GET</x:v>
      </x:c>
      <x:c r="I18" s="89" t="str">
        <x:v>/password/forgot</x:v>
      </x:c>
      <x:c r="J18" s="89" t="str">
        <x:v>AuthenticationController</x:v>
      </x:c>
      <x:c r="K18" s="89" t="str">
        <x:v>show_sc_pb_011</x:v>
      </x:c>
      <x:c r="L18" s="89" t="str">
        <x:v>auth/password/forgot</x:v>
      </x:c>
      <x:c r="M18" s="89" t="str">
        <x:v>不要</x:v>
      </x:c>
      <x:c r="N18" s="89" t="str">
        <x:v>permitAll</x:v>
      </x:c>
      <x:c r="O18" s="89" t="str">
        <x:v>同画面を表示</x:v>
      </x:c>
      <x:c r="P18" s="89" t="str">
        <x:v>権限エラーは /error/access、データなしは404画面</x:v>
      </x:c>
      <x:c r="Q18" s="89" t="str">
        <x:v>〇</x:v>
      </x:c>
      <x:c r="R18" s="89" t="str">
        <x:v>第1段階</x:v>
      </x:c>
      <x:c r="S18" s="90" t="str">
        <x:v>画面一覧のURL案を基に作成</x:v>
      </x:c>
    </x:row>
    <x:row r="19" ht="42" customHeight="1">
      <x:c r="A19" s="79" t="n">
        <x:v>16</x:v>
      </x:c>
      <x:c r="B19" s="80" t="str">
        <x:v>RT-0016</x:v>
      </x:c>
      <x:c r="C19" s="80" t="str">
        <x:v>SC-PB-011</x:v>
      </x:c>
      <x:c r="D19" s="80" t="str">
        <x:v>共通</x:v>
      </x:c>
      <x:c r="E19" s="80" t="str">
        <x:v>認証</x:v>
      </x:c>
      <x:c r="F19" s="80" t="str">
        <x:v>パスワード再設定申請</x:v>
      </x:c>
      <x:c r="G19" s="80" t="str">
        <x:v>申請</x:v>
      </x:c>
      <x:c r="H19" s="80" t="str">
        <x:v>POST</x:v>
      </x:c>
      <x:c r="I19" s="80" t="str">
        <x:v>/password/forgot</x:v>
      </x:c>
      <x:c r="J19" s="80" t="str">
        <x:v>AuthenticationController</x:v>
      </x:c>
      <x:c r="K19" s="80" t="str">
        <x:v>request_sc_pb_011</x:v>
      </x:c>
      <x:c r="L19" s="80" t="str">
        <x:v>redirect またはファイルレスポンス</x:v>
      </x:c>
      <x:c r="M19" s="80" t="str">
        <x:v>不要</x:v>
      </x:c>
      <x:c r="N19" s="80" t="str">
        <x:v>permitAll</x:v>
      </x:c>
      <x:c r="O19" s="80" t="str">
        <x:v>送信完了メッセージを表示</x:v>
      </x:c>
      <x:c r="P19" s="80" t="str">
        <x:v>入力エラーは元画面へ戻す。業務エラーはメッセージ表示</x:v>
      </x:c>
      <x:c r="Q19" s="80" t="str">
        <x:v>〇</x:v>
      </x:c>
      <x:c r="R19" s="80" t="str">
        <x:v>第1段階</x:v>
      </x:c>
      <x:c r="S19" s="81" t="str">
        <x:v>POSTはCSRF有効。更新処理はService層で権限・所有者を再確認</x:v>
      </x:c>
    </x:row>
    <x:row r="20" ht="42" customHeight="1">
      <x:c r="A20" s="88" t="n">
        <x:v>17</x:v>
      </x:c>
      <x:c r="B20" s="89" t="str">
        <x:v>RT-0017</x:v>
      </x:c>
      <x:c r="C20" s="89" t="str">
        <x:v>SC-PB-012</x:v>
      </x:c>
      <x:c r="D20" s="89" t="str">
        <x:v>共通</x:v>
      </x:c>
      <x:c r="E20" s="89" t="str">
        <x:v>認証</x:v>
      </x:c>
      <x:c r="F20" s="89" t="str">
        <x:v>パスワード再設定</x:v>
      </x:c>
      <x:c r="G20" s="89" t="str">
        <x:v>画面表示</x:v>
      </x:c>
      <x:c r="H20" s="89" t="str">
        <x:v>GET</x:v>
      </x:c>
      <x:c r="I20" s="89" t="str">
        <x:v>/password/reset</x:v>
      </x:c>
      <x:c r="J20" s="89" t="str">
        <x:v>AuthenticationController</x:v>
      </x:c>
      <x:c r="K20" s="89" t="str">
        <x:v>show_sc_pb_012</x:v>
      </x:c>
      <x:c r="L20" s="89" t="str">
        <x:v>auth/password/reset</x:v>
      </x:c>
      <x:c r="M20" s="89" t="str">
        <x:v>不要</x:v>
      </x:c>
      <x:c r="N20" s="89" t="str">
        <x:v>permitAll</x:v>
      </x:c>
      <x:c r="O20" s="89" t="str">
        <x:v>同画面を表示</x:v>
      </x:c>
      <x:c r="P20" s="89" t="str">
        <x:v>権限エラーは /error/access、データなしは404画面</x:v>
      </x:c>
      <x:c r="Q20" s="89" t="str">
        <x:v>〇</x:v>
      </x:c>
      <x:c r="R20" s="89" t="str">
        <x:v>第1段階</x:v>
      </x:c>
      <x:c r="S20" s="90" t="str">
        <x:v>画面一覧のURL案を基に作成</x:v>
      </x:c>
    </x:row>
    <x:row r="21" ht="42" customHeight="1">
      <x:c r="A21" s="79" t="n">
        <x:v>18</x:v>
      </x:c>
      <x:c r="B21" s="80" t="str">
        <x:v>RT-0018</x:v>
      </x:c>
      <x:c r="C21" s="80" t="str">
        <x:v>SC-PB-012</x:v>
      </x:c>
      <x:c r="D21" s="80" t="str">
        <x:v>共通</x:v>
      </x:c>
      <x:c r="E21" s="80" t="str">
        <x:v>認証</x:v>
      </x:c>
      <x:c r="F21" s="80" t="str">
        <x:v>パスワード再設定</x:v>
      </x:c>
      <x:c r="G21" s="80" t="str">
        <x:v>更新</x:v>
      </x:c>
      <x:c r="H21" s="80" t="str">
        <x:v>POST</x:v>
      </x:c>
      <x:c r="I21" s="80" t="str">
        <x:v>/password/reset</x:v>
      </x:c>
      <x:c r="J21" s="80" t="str">
        <x:v>AuthenticationController</x:v>
      </x:c>
      <x:c r="K21" s="80" t="str">
        <x:v>reset_sc_pb_012</x:v>
      </x:c>
      <x:c r="L21" s="80" t="str">
        <x:v>redirect またはファイルレスポンス</x:v>
      </x:c>
      <x:c r="M21" s="80" t="str">
        <x:v>不要</x:v>
      </x:c>
      <x:c r="N21" s="80" t="str">
        <x:v>permitAll</x:v>
      </x:c>
      <x:c r="O21" s="80" t="str">
        <x:v>ログイン画面へ</x:v>
      </x:c>
      <x:c r="P21" s="80" t="str">
        <x:v>入力エラーは元画面へ戻す。業務エラーはメッセージ表示</x:v>
      </x:c>
      <x:c r="Q21" s="80" t="str">
        <x:v>〇</x:v>
      </x:c>
      <x:c r="R21" s="80" t="str">
        <x:v>第1段階</x:v>
      </x:c>
      <x:c r="S21" s="81" t="str">
        <x:v>POSTはCSRF有効。更新処理はService層で権限・所有者を再確認</x:v>
      </x:c>
    </x:row>
    <x:row r="22" ht="42" customHeight="1">
      <x:c r="A22" s="88" t="n">
        <x:v>19</x:v>
      </x:c>
      <x:c r="B22" s="89" t="str">
        <x:v>RT-0019</x:v>
      </x:c>
      <x:c r="C22" s="89" t="str">
        <x:v>SC-PB-013</x:v>
      </x:c>
      <x:c r="D22" s="89" t="str">
        <x:v>公開</x:v>
      </x:c>
      <x:c r="E22" s="89" t="str">
        <x:v>料金</x:v>
      </x:c>
      <x:c r="F22" s="89" t="str">
        <x:v>料金・プラン案内</x:v>
      </x:c>
      <x:c r="G22" s="89" t="str">
        <x:v>画面表示</x:v>
      </x:c>
      <x:c r="H22" s="89" t="str">
        <x:v>GET</x:v>
      </x:c>
      <x:c r="I22" s="89" t="str">
        <x:v>/pricing</x:v>
      </x:c>
      <x:c r="J22" s="89" t="str">
        <x:v>PricingController</x:v>
      </x:c>
      <x:c r="K22" s="89" t="str">
        <x:v>show_sc_pb_013</x:v>
      </x:c>
      <x:c r="L22" s="89" t="str">
        <x:v>public/pricing</x:v>
      </x:c>
      <x:c r="M22" s="89" t="str">
        <x:v>不要</x:v>
      </x:c>
      <x:c r="N22" s="89" t="str">
        <x:v>permitAll</x:v>
      </x:c>
      <x:c r="O22" s="89" t="str">
        <x:v>同画面を表示</x:v>
      </x:c>
      <x:c r="P22" s="89" t="str">
        <x:v>権限エラーは /error/access、データなしは404画面</x:v>
      </x:c>
      <x:c r="Q22" s="89" t="str">
        <x:v>〇</x:v>
      </x:c>
      <x:c r="R22" s="89" t="str">
        <x:v>第1段階</x:v>
      </x:c>
      <x:c r="S22" s="90" t="str">
        <x:v>画面一覧のURL案を基に作成</x:v>
      </x:c>
    </x:row>
    <x:row r="23" ht="42" customHeight="1">
      <x:c r="A23" s="79" t="n">
        <x:v>20</x:v>
      </x:c>
      <x:c r="B23" s="80" t="str">
        <x:v>RT-0020</x:v>
      </x:c>
      <x:c r="C23" s="80" t="str">
        <x:v>SC-PB-014</x:v>
      </x:c>
      <x:c r="D23" s="80" t="str">
        <x:v>公開</x:v>
      </x:c>
      <x:c r="E23" s="80" t="str">
        <x:v>サポート</x:v>
      </x:c>
      <x:c r="F23" s="80" t="str">
        <x:v>お問い合わせ</x:v>
      </x:c>
      <x:c r="G23" s="80" t="str">
        <x:v>画面表示</x:v>
      </x:c>
      <x:c r="H23" s="80" t="str">
        <x:v>GET</x:v>
      </x:c>
      <x:c r="I23" s="80" t="str">
        <x:v>/contact</x:v>
      </x:c>
      <x:c r="J23" s="80" t="str">
        <x:v>ContactController</x:v>
      </x:c>
      <x:c r="K23" s="80" t="str">
        <x:v>show_sc_pb_014</x:v>
      </x:c>
      <x:c r="L23" s="80" t="str">
        <x:v>public/contact</x:v>
      </x:c>
      <x:c r="M23" s="80" t="str">
        <x:v>不要</x:v>
      </x:c>
      <x:c r="N23" s="80" t="str">
        <x:v>permitAll</x:v>
      </x:c>
      <x:c r="O23" s="80" t="str">
        <x:v>同画面を表示</x:v>
      </x:c>
      <x:c r="P23" s="80" t="str">
        <x:v>権限エラーは /error/access、データなしは404画面</x:v>
      </x:c>
      <x:c r="Q23" s="80" t="str">
        <x:v>〇</x:v>
      </x:c>
      <x:c r="R23" s="80" t="str">
        <x:v>第1段階</x:v>
      </x:c>
      <x:c r="S23" s="81" t="str">
        <x:v>画面一覧のURL案を基に作成</x:v>
      </x:c>
    </x:row>
    <x:row r="24" ht="42" customHeight="1">
      <x:c r="A24" s="88" t="n">
        <x:v>21</x:v>
      </x:c>
      <x:c r="B24" s="89" t="str">
        <x:v>RT-0021</x:v>
      </x:c>
      <x:c r="C24" s="89" t="str">
        <x:v>SC-PB-014</x:v>
      </x:c>
      <x:c r="D24" s="89" t="str">
        <x:v>公開</x:v>
      </x:c>
      <x:c r="E24" s="89" t="str">
        <x:v>サポート</x:v>
      </x:c>
      <x:c r="F24" s="89" t="str">
        <x:v>お問い合わせ</x:v>
      </x:c>
      <x:c r="G24" s="89" t="str">
        <x:v>送信</x:v>
      </x:c>
      <x:c r="H24" s="89" t="str">
        <x:v>POST</x:v>
      </x:c>
      <x:c r="I24" s="89" t="str">
        <x:v>/contact</x:v>
      </x:c>
      <x:c r="J24" s="89" t="str">
        <x:v>ContactController</x:v>
      </x:c>
      <x:c r="K24" s="89" t="str">
        <x:v>submit_sc_pb_014</x:v>
      </x:c>
      <x:c r="L24" s="89" t="str">
        <x:v>redirect またはファイルレスポンス</x:v>
      </x:c>
      <x:c r="M24" s="89" t="str">
        <x:v>不要</x:v>
      </x:c>
      <x:c r="N24" s="89" t="str">
        <x:v>permitAll</x:v>
      </x:c>
      <x:c r="O24" s="89" t="str">
        <x:v>送信完了画面へ</x:v>
      </x:c>
      <x:c r="P24" s="89" t="str">
        <x:v>入力エラーは元画面へ戻す。業務エラーはメッセージ表示</x:v>
      </x:c>
      <x:c r="Q24" s="89" t="str">
        <x:v>〇</x:v>
      </x:c>
      <x:c r="R24" s="89" t="str">
        <x:v>第1段階</x:v>
      </x:c>
      <x:c r="S24" s="90" t="str">
        <x:v>POSTはCSRF有効。更新処理はService層で権限・所有者を再確認</x:v>
      </x:c>
    </x:row>
    <x:row r="25" ht="42" customHeight="1">
      <x:c r="A25" s="79" t="n">
        <x:v>22</x:v>
      </x:c>
      <x:c r="B25" s="80" t="str">
        <x:v>RT-0022</x:v>
      </x:c>
      <x:c r="C25" s="80" t="str">
        <x:v>SC-PB-015</x:v>
      </x:c>
      <x:c r="D25" s="80" t="str">
        <x:v>公開</x:v>
      </x:c>
      <x:c r="E25" s="80" t="str">
        <x:v>規約</x:v>
      </x:c>
      <x:c r="F25" s="80" t="str">
        <x:v>利用規約・プライバシー</x:v>
      </x:c>
      <x:c r="G25" s="80" t="str">
        <x:v>画面表示</x:v>
      </x:c>
      <x:c r="H25" s="80" t="str">
        <x:v>GET</x:v>
      </x:c>
      <x:c r="I25" s="80" t="str">
        <x:v>/terms</x:v>
      </x:c>
      <x:c r="J25" s="80" t="str">
        <x:v>TermsController</x:v>
      </x:c>
      <x:c r="K25" s="80" t="str">
        <x:v>show_sc_pb_015</x:v>
      </x:c>
      <x:c r="L25" s="80" t="str">
        <x:v>public/terms</x:v>
      </x:c>
      <x:c r="M25" s="80" t="str">
        <x:v>不要</x:v>
      </x:c>
      <x:c r="N25" s="80" t="str">
        <x:v>permitAll</x:v>
      </x:c>
      <x:c r="O25" s="80" t="str">
        <x:v>同画面を表示</x:v>
      </x:c>
      <x:c r="P25" s="80" t="str">
        <x:v>権限エラーは /error/access、データなしは404画面</x:v>
      </x:c>
      <x:c r="Q25" s="80" t="str">
        <x:v>〇</x:v>
      </x:c>
      <x:c r="R25" s="80" t="str">
        <x:v>第1段階</x:v>
      </x:c>
      <x:c r="S25" s="81" t="str">
        <x:v>画面一覧のURL案を基に作成</x:v>
      </x:c>
    </x:row>
    <x:row r="26" ht="42" customHeight="1">
      <x:c r="A26" s="88" t="n">
        <x:v>23</x:v>
      </x:c>
      <x:c r="B26" s="89" t="str">
        <x:v>RT-0023</x:v>
      </x:c>
      <x:c r="C26" s="89" t="str">
        <x:v>SC-PB-016</x:v>
      </x:c>
      <x:c r="D26" s="89" t="str">
        <x:v>共通</x:v>
      </x:c>
      <x:c r="E26" s="89" t="str">
        <x:v>エラー</x:v>
      </x:c>
      <x:c r="F26" s="89" t="str">
        <x:v>権限・上限エラー案内</x:v>
      </x:c>
      <x:c r="G26" s="89" t="str">
        <x:v>画面表示</x:v>
      </x:c>
      <x:c r="H26" s="89" t="str">
        <x:v>GET</x:v>
      </x:c>
      <x:c r="I26" s="89" t="str">
        <x:v>/error/access</x:v>
      </x:c>
      <x:c r="J26" s="89" t="str">
        <x:v>ErrorPageController</x:v>
      </x:c>
      <x:c r="K26" s="89" t="str">
        <x:v>show_sc_pb_016</x:v>
      </x:c>
      <x:c r="L26" s="89" t="str">
        <x:v>public/error/access</x:v>
      </x:c>
      <x:c r="M26" s="89" t="str">
        <x:v>状況による</x:v>
      </x:c>
      <x:c r="N26" s="89" t="str">
        <x:v>authenticated()</x:v>
      </x:c>
      <x:c r="O26" s="89" t="str">
        <x:v>同画面を表示</x:v>
      </x:c>
      <x:c r="P26" s="89" t="str">
        <x:v>権限エラーは /error/access、データなしは404画面</x:v>
      </x:c>
      <x:c r="Q26" s="89" t="str">
        <x:v>〇</x:v>
      </x:c>
      <x:c r="R26" s="89" t="str">
        <x:v>第1段階</x:v>
      </x:c>
      <x:c r="S26" s="90" t="str">
        <x:v>画面一覧のURL案を基に作成</x:v>
      </x:c>
    </x:row>
    <x:row r="27" ht="42" customHeight="1">
      <x:c r="A27" s="79" t="n">
        <x:v>24</x:v>
      </x:c>
      <x:c r="B27" s="80" t="str">
        <x:v>RT-0024</x:v>
      </x:c>
      <x:c r="C27" s="80" t="str">
        <x:v>SC-US-001</x:v>
      </x:c>
      <x:c r="D27" s="80" t="str">
        <x:v>ユーザー</x:v>
      </x:c>
      <x:c r="E27" s="80" t="str">
        <x:v>ダッシュボード</x:v>
      </x:c>
      <x:c r="F27" s="80" t="str">
        <x:v>ユーザーマイページ</x:v>
      </x:c>
      <x:c r="G27" s="80" t="str">
        <x:v>画面表示</x:v>
      </x:c>
      <x:c r="H27" s="80" t="str">
        <x:v>GET</x:v>
      </x:c>
      <x:c r="I27" s="80" t="str">
        <x:v>/mypage</x:v>
      </x:c>
      <x:c r="J27" s="80" t="str">
        <x:v>UserMypageController</x:v>
      </x:c>
      <x:c r="K27" s="80" t="str">
        <x:v>show_sc_us_001</x:v>
      </x:c>
      <x:c r="L27" s="80" t="str">
        <x:v>mypage/dashboard</x:v>
      </x:c>
      <x:c r="M27" s="80" t="str">
        <x:v>必要</x:v>
      </x:c>
      <x:c r="N27" s="80" t="str">
        <x:v>ROLE_USER</x:v>
      </x:c>
      <x:c r="O27" s="80" t="str">
        <x:v>同画面を表示</x:v>
      </x:c>
      <x:c r="P27" s="80" t="str">
        <x:v>権限エラーは /error/access、データなしは404画面</x:v>
      </x:c>
      <x:c r="Q27" s="80" t="str">
        <x:v>〇</x:v>
      </x:c>
      <x:c r="R27" s="80" t="str">
        <x:v>第1段階</x:v>
      </x:c>
      <x:c r="S27" s="81" t="str">
        <x:v>画面一覧のURL案を基に作成</x:v>
      </x:c>
    </x:row>
    <x:row r="28" ht="42" customHeight="1">
      <x:c r="A28" s="88" t="n">
        <x:v>25</x:v>
      </x:c>
      <x:c r="B28" s="89" t="str">
        <x:v>RT-0025</x:v>
      </x:c>
      <x:c r="C28" s="89" t="str">
        <x:v>SC-US-002</x:v>
      </x:c>
      <x:c r="D28" s="89" t="str">
        <x:v>ユーザー</x:v>
      </x:c>
      <x:c r="E28" s="89" t="str">
        <x:v>プロフィール</x:v>
      </x:c>
      <x:c r="F28" s="89" t="str">
        <x:v>プロフィール確認</x:v>
      </x:c>
      <x:c r="G28" s="89" t="str">
        <x:v>画面表示</x:v>
      </x:c>
      <x:c r="H28" s="89" t="str">
        <x:v>GET</x:v>
      </x:c>
      <x:c r="I28" s="89" t="str">
        <x:v>/mypage/profile</x:v>
      </x:c>
      <x:c r="J28" s="89" t="str">
        <x:v>UserProfileController</x:v>
      </x:c>
      <x:c r="K28" s="89" t="str">
        <x:v>show_sc_us_002</x:v>
      </x:c>
      <x:c r="L28" s="89" t="str">
        <x:v>mypage/profile</x:v>
      </x:c>
      <x:c r="M28" s="89" t="str">
        <x:v>必要</x:v>
      </x:c>
      <x:c r="N28" s="89" t="str">
        <x:v>ROLE_USER</x:v>
      </x:c>
      <x:c r="O28" s="89" t="str">
        <x:v>同画面を表示</x:v>
      </x:c>
      <x:c r="P28" s="89" t="str">
        <x:v>権限エラーは /error/access、データなしは404画面</x:v>
      </x:c>
      <x:c r="Q28" s="89" t="str">
        <x:v>〇</x:v>
      </x:c>
      <x:c r="R28" s="89" t="str">
        <x:v>第1段階</x:v>
      </x:c>
      <x:c r="S28" s="90" t="str">
        <x:v>画面一覧のURL案を基に作成</x:v>
      </x:c>
    </x:row>
    <x:row r="29" ht="42" customHeight="1">
      <x:c r="A29" s="79" t="n">
        <x:v>26</x:v>
      </x:c>
      <x:c r="B29" s="80" t="str">
        <x:v>RT-0026</x:v>
      </x:c>
      <x:c r="C29" s="80" t="str">
        <x:v>SC-US-003</x:v>
      </x:c>
      <x:c r="D29" s="80" t="str">
        <x:v>ユーザー</x:v>
      </x:c>
      <x:c r="E29" s="80" t="str">
        <x:v>プロフィール</x:v>
      </x:c>
      <x:c r="F29" s="80" t="str">
        <x:v>基本プロフィール編集</x:v>
      </x:c>
      <x:c r="G29" s="80" t="str">
        <x:v>画面表示</x:v>
      </x:c>
      <x:c r="H29" s="80" t="str">
        <x:v>GET</x:v>
      </x:c>
      <x:c r="I29" s="80" t="str">
        <x:v>/mypage/profile/basic</x:v>
      </x:c>
      <x:c r="J29" s="80" t="str">
        <x:v>UserProfileController</x:v>
      </x:c>
      <x:c r="K29" s="80" t="str">
        <x:v>show_sc_us_003</x:v>
      </x:c>
      <x:c r="L29" s="80" t="str">
        <x:v>mypage/profile/basic</x:v>
      </x:c>
      <x:c r="M29" s="80" t="str">
        <x:v>必要</x:v>
      </x:c>
      <x:c r="N29" s="80" t="str">
        <x:v>ROLE_USER</x:v>
      </x:c>
      <x:c r="O29" s="80" t="str">
        <x:v>同画面を表示</x:v>
      </x:c>
      <x:c r="P29" s="80" t="str">
        <x:v>権限エラーは /error/access、データなしは404画面</x:v>
      </x:c>
      <x:c r="Q29" s="80" t="str">
        <x:v>〇</x:v>
      </x:c>
      <x:c r="R29" s="80" t="str">
        <x:v>第1段階</x:v>
      </x:c>
      <x:c r="S29" s="81" t="str">
        <x:v>画面一覧のURL案を基に作成</x:v>
      </x:c>
    </x:row>
    <x:row r="30" ht="42" customHeight="1">
      <x:c r="A30" s="88" t="n">
        <x:v>27</x:v>
      </x:c>
      <x:c r="B30" s="89" t="str">
        <x:v>RT-0027</x:v>
      </x:c>
      <x:c r="C30" s="89" t="str">
        <x:v>SC-US-003</x:v>
      </x:c>
      <x:c r="D30" s="89" t="str">
        <x:v>ユーザー</x:v>
      </x:c>
      <x:c r="E30" s="89" t="str">
        <x:v>プロフィール</x:v>
      </x:c>
      <x:c r="F30" s="89" t="str">
        <x:v>基本プロフィール編集</x:v>
      </x:c>
      <x:c r="G30" s="89" t="str">
        <x:v>更新</x:v>
      </x:c>
      <x:c r="H30" s="89" t="str">
        <x:v>POST</x:v>
      </x:c>
      <x:c r="I30" s="89" t="str">
        <x:v>/mypage/profile/basic</x:v>
      </x:c>
      <x:c r="J30" s="89" t="str">
        <x:v>UserProfileController</x:v>
      </x:c>
      <x:c r="K30" s="89" t="str">
        <x:v>update_sc_us_003</x:v>
      </x:c>
      <x:c r="L30" s="89" t="str">
        <x:v>redirect またはファイルレスポンス</x:v>
      </x:c>
      <x:c r="M30" s="89" t="str">
        <x:v>必要</x:v>
      </x:c>
      <x:c r="N30" s="89" t="str">
        <x:v>ROLE_USER</x:v>
      </x:c>
      <x:c r="O30" s="89" t="str">
        <x:v>プロフィール確認へ</x:v>
      </x:c>
      <x:c r="P30" s="89" t="str">
        <x:v>入力エラーは元画面へ戻す。業務エラーはメッセージ表示</x:v>
      </x:c>
      <x:c r="Q30" s="89" t="str">
        <x:v>〇</x:v>
      </x:c>
      <x:c r="R30" s="89" t="str">
        <x:v>第1段階</x:v>
      </x:c>
      <x:c r="S30" s="90" t="str">
        <x:v>POSTはCSRF有効。更新処理はService層で権限・所有者を再確認</x:v>
      </x:c>
    </x:row>
    <x:row r="31" ht="42" customHeight="1">
      <x:c r="A31" s="79" t="n">
        <x:v>28</x:v>
      </x:c>
      <x:c r="B31" s="80" t="str">
        <x:v>RT-0028</x:v>
      </x:c>
      <x:c r="C31" s="80" t="str">
        <x:v>SC-US-004</x:v>
      </x:c>
      <x:c r="D31" s="80" t="str">
        <x:v>ユーザー</x:v>
      </x:c>
      <x:c r="E31" s="80" t="str">
        <x:v>プロフィール</x:v>
      </x:c>
      <x:c r="F31" s="80" t="str">
        <x:v>職歴一覧・編集</x:v>
      </x:c>
      <x:c r="G31" s="80" t="str">
        <x:v>画面表示</x:v>
      </x:c>
      <x:c r="H31" s="80" t="str">
        <x:v>GET</x:v>
      </x:c>
      <x:c r="I31" s="80" t="str">
        <x:v>/mypage/profile/careers</x:v>
      </x:c>
      <x:c r="J31" s="80" t="str">
        <x:v>UserProfileController</x:v>
      </x:c>
      <x:c r="K31" s="80" t="str">
        <x:v>show_sc_us_004</x:v>
      </x:c>
      <x:c r="L31" s="80" t="str">
        <x:v>mypage/profile/careers</x:v>
      </x:c>
      <x:c r="M31" s="80" t="str">
        <x:v>必要</x:v>
      </x:c>
      <x:c r="N31" s="80" t="str">
        <x:v>ROLE_USER</x:v>
      </x:c>
      <x:c r="O31" s="80" t="str">
        <x:v>同画面を表示</x:v>
      </x:c>
      <x:c r="P31" s="80" t="str">
        <x:v>権限エラーは /error/access、データなしは404画面</x:v>
      </x:c>
      <x:c r="Q31" s="80" t="str">
        <x:v>〇</x:v>
      </x:c>
      <x:c r="R31" s="80" t="str">
        <x:v>第1段階</x:v>
      </x:c>
      <x:c r="S31" s="81" t="str">
        <x:v>画面一覧のURL案を基に作成</x:v>
      </x:c>
    </x:row>
    <x:row r="32" ht="42" customHeight="1">
      <x:c r="A32" s="88" t="n">
        <x:v>29</x:v>
      </x:c>
      <x:c r="B32" s="89" t="str">
        <x:v>RT-0029</x:v>
      </x:c>
      <x:c r="C32" s="89" t="str">
        <x:v>SC-US-004</x:v>
      </x:c>
      <x:c r="D32" s="89" t="str">
        <x:v>ユーザー</x:v>
      </x:c>
      <x:c r="E32" s="89" t="str">
        <x:v>プロフィール</x:v>
      </x:c>
      <x:c r="F32" s="89" t="str">
        <x:v>職歴一覧・編集</x:v>
      </x:c>
      <x:c r="G32" s="89" t="str">
        <x:v>登録・更新</x:v>
      </x:c>
      <x:c r="H32" s="89" t="str">
        <x:v>POST</x:v>
      </x:c>
      <x:c r="I32" s="89" t="str">
        <x:v>/mypage/profile/careers</x:v>
      </x:c>
      <x:c r="J32" s="89" t="str">
        <x:v>UserProfileController</x:v>
      </x:c>
      <x:c r="K32" s="89" t="str">
        <x:v>save_sc_us_004</x:v>
      </x:c>
      <x:c r="L32" s="89" t="str">
        <x:v>redirect またはファイルレスポンス</x:v>
      </x:c>
      <x:c r="M32" s="89" t="str">
        <x:v>必要</x:v>
      </x:c>
      <x:c r="N32" s="89" t="str">
        <x:v>ROLE_USER</x:v>
      </x:c>
      <x:c r="O32" s="89" t="str">
        <x:v>同画面へ</x:v>
      </x:c>
      <x:c r="P32" s="89" t="str">
        <x:v>入力エラーは元画面へ戻す。業務エラーはメッセージ表示</x:v>
      </x:c>
      <x:c r="Q32" s="89" t="str">
        <x:v>〇</x:v>
      </x:c>
      <x:c r="R32" s="89" t="str">
        <x:v>第1段階</x:v>
      </x:c>
      <x:c r="S32" s="90" t="str">
        <x:v>POSTはCSRF有効。更新処理はService層で権限・所有者を再確認</x:v>
      </x:c>
    </x:row>
    <x:row r="33" ht="42" customHeight="1">
      <x:c r="A33" s="79" t="n">
        <x:v>30</x:v>
      </x:c>
      <x:c r="B33" s="80" t="str">
        <x:v>RT-0030</x:v>
      </x:c>
      <x:c r="C33" s="80" t="str">
        <x:v>SC-US-005</x:v>
      </x:c>
      <x:c r="D33" s="80" t="str">
        <x:v>ユーザー</x:v>
      </x:c>
      <x:c r="E33" s="80" t="str">
        <x:v>プロフィール</x:v>
      </x:c>
      <x:c r="F33" s="80" t="str">
        <x:v>学歴一覧・編集</x:v>
      </x:c>
      <x:c r="G33" s="80" t="str">
        <x:v>画面表示</x:v>
      </x:c>
      <x:c r="H33" s="80" t="str">
        <x:v>GET</x:v>
      </x:c>
      <x:c r="I33" s="80" t="str">
        <x:v>/mypage/profile/education</x:v>
      </x:c>
      <x:c r="J33" s="80" t="str">
        <x:v>UserProfileController</x:v>
      </x:c>
      <x:c r="K33" s="80" t="str">
        <x:v>show_sc_us_005</x:v>
      </x:c>
      <x:c r="L33" s="80" t="str">
        <x:v>mypage/profile/education</x:v>
      </x:c>
      <x:c r="M33" s="80" t="str">
        <x:v>必要</x:v>
      </x:c>
      <x:c r="N33" s="80" t="str">
        <x:v>ROLE_USER</x:v>
      </x:c>
      <x:c r="O33" s="80" t="str">
        <x:v>同画面を表示</x:v>
      </x:c>
      <x:c r="P33" s="80" t="str">
        <x:v>権限エラーは /error/access、データなしは404画面</x:v>
      </x:c>
      <x:c r="Q33" s="80" t="str">
        <x:v>〇</x:v>
      </x:c>
      <x:c r="R33" s="80" t="str">
        <x:v>第1段階</x:v>
      </x:c>
      <x:c r="S33" s="81" t="str">
        <x:v>画面一覧のURL案を基に作成</x:v>
      </x:c>
    </x:row>
    <x:row r="34" ht="42" customHeight="1">
      <x:c r="A34" s="88" t="n">
        <x:v>31</x:v>
      </x:c>
      <x:c r="B34" s="89" t="str">
        <x:v>RT-0031</x:v>
      </x:c>
      <x:c r="C34" s="89" t="str">
        <x:v>SC-US-005</x:v>
      </x:c>
      <x:c r="D34" s="89" t="str">
        <x:v>ユーザー</x:v>
      </x:c>
      <x:c r="E34" s="89" t="str">
        <x:v>プロフィール</x:v>
      </x:c>
      <x:c r="F34" s="89" t="str">
        <x:v>学歴一覧・編集</x:v>
      </x:c>
      <x:c r="G34" s="89" t="str">
        <x:v>登録・更新</x:v>
      </x:c>
      <x:c r="H34" s="89" t="str">
        <x:v>POST</x:v>
      </x:c>
      <x:c r="I34" s="89" t="str">
        <x:v>/mypage/profile/education</x:v>
      </x:c>
      <x:c r="J34" s="89" t="str">
        <x:v>UserProfileController</x:v>
      </x:c>
      <x:c r="K34" s="89" t="str">
        <x:v>save_sc_us_005</x:v>
      </x:c>
      <x:c r="L34" s="89" t="str">
        <x:v>redirect またはファイルレスポンス</x:v>
      </x:c>
      <x:c r="M34" s="89" t="str">
        <x:v>必要</x:v>
      </x:c>
      <x:c r="N34" s="89" t="str">
        <x:v>ROLE_USER</x:v>
      </x:c>
      <x:c r="O34" s="89" t="str">
        <x:v>同画面へ</x:v>
      </x:c>
      <x:c r="P34" s="89" t="str">
        <x:v>入力エラーは元画面へ戻す。業務エラーはメッセージ表示</x:v>
      </x:c>
      <x:c r="Q34" s="89" t="str">
        <x:v>〇</x:v>
      </x:c>
      <x:c r="R34" s="89" t="str">
        <x:v>第1段階</x:v>
      </x:c>
      <x:c r="S34" s="90" t="str">
        <x:v>POSTはCSRF有効。更新処理はService層で権限・所有者を再確認</x:v>
      </x:c>
    </x:row>
    <x:row r="35" ht="42" customHeight="1">
      <x:c r="A35" s="79" t="n">
        <x:v>32</x:v>
      </x:c>
      <x:c r="B35" s="80" t="str">
        <x:v>RT-0032</x:v>
      </x:c>
      <x:c r="C35" s="80" t="str">
        <x:v>SC-US-006</x:v>
      </x:c>
      <x:c r="D35" s="80" t="str">
        <x:v>ユーザー</x:v>
      </x:c>
      <x:c r="E35" s="80" t="str">
        <x:v>プロフィール</x:v>
      </x:c>
      <x:c r="F35" s="80" t="str">
        <x:v>資格・スキル編集</x:v>
      </x:c>
      <x:c r="G35" s="80" t="str">
        <x:v>画面表示</x:v>
      </x:c>
      <x:c r="H35" s="80" t="str">
        <x:v>GET</x:v>
      </x:c>
      <x:c r="I35" s="80" t="str">
        <x:v>/mypage/profile/skills</x:v>
      </x:c>
      <x:c r="J35" s="80" t="str">
        <x:v>UserProfileController</x:v>
      </x:c>
      <x:c r="K35" s="80" t="str">
        <x:v>show_sc_us_006</x:v>
      </x:c>
      <x:c r="L35" s="80" t="str">
        <x:v>mypage/profile/skills</x:v>
      </x:c>
      <x:c r="M35" s="80" t="str">
        <x:v>必要</x:v>
      </x:c>
      <x:c r="N35" s="80" t="str">
        <x:v>ROLE_USER</x:v>
      </x:c>
      <x:c r="O35" s="80" t="str">
        <x:v>同画面を表示</x:v>
      </x:c>
      <x:c r="P35" s="80" t="str">
        <x:v>権限エラーは /error/access、データなしは404画面</x:v>
      </x:c>
      <x:c r="Q35" s="80" t="str">
        <x:v>〇</x:v>
      </x:c>
      <x:c r="R35" s="80" t="str">
        <x:v>第1段階</x:v>
      </x:c>
      <x:c r="S35" s="81" t="str">
        <x:v>画面一覧のURL案を基に作成</x:v>
      </x:c>
    </x:row>
    <x:row r="36" ht="42" customHeight="1">
      <x:c r="A36" s="88" t="n">
        <x:v>33</x:v>
      </x:c>
      <x:c r="B36" s="89" t="str">
        <x:v>RT-0033</x:v>
      </x:c>
      <x:c r="C36" s="89" t="str">
        <x:v>SC-US-006</x:v>
      </x:c>
      <x:c r="D36" s="89" t="str">
        <x:v>ユーザー</x:v>
      </x:c>
      <x:c r="E36" s="89" t="str">
        <x:v>プロフィール</x:v>
      </x:c>
      <x:c r="F36" s="89" t="str">
        <x:v>資格・スキル編集</x:v>
      </x:c>
      <x:c r="G36" s="89" t="str">
        <x:v>更新</x:v>
      </x:c>
      <x:c r="H36" s="89" t="str">
        <x:v>POST</x:v>
      </x:c>
      <x:c r="I36" s="89" t="str">
        <x:v>/mypage/profile/skills</x:v>
      </x:c>
      <x:c r="J36" s="89" t="str">
        <x:v>UserProfileController</x:v>
      </x:c>
      <x:c r="K36" s="89" t="str">
        <x:v>update_sc_us_006</x:v>
      </x:c>
      <x:c r="L36" s="89" t="str">
        <x:v>redirect またはファイルレスポンス</x:v>
      </x:c>
      <x:c r="M36" s="89" t="str">
        <x:v>必要</x:v>
      </x:c>
      <x:c r="N36" s="89" t="str">
        <x:v>ROLE_USER</x:v>
      </x:c>
      <x:c r="O36" s="89" t="str">
        <x:v>同画面へ</x:v>
      </x:c>
      <x:c r="P36" s="89" t="str">
        <x:v>入力エラーは元画面へ戻す。業務エラーはメッセージ表示</x:v>
      </x:c>
      <x:c r="Q36" s="89" t="str">
        <x:v>〇</x:v>
      </x:c>
      <x:c r="R36" s="89" t="str">
        <x:v>第1段階</x:v>
      </x:c>
      <x:c r="S36" s="90" t="str">
        <x:v>POSTはCSRF有効。更新処理はService層で権限・所有者を再確認</x:v>
      </x:c>
    </x:row>
    <x:row r="37" ht="42" customHeight="1">
      <x:c r="A37" s="79" t="n">
        <x:v>34</x:v>
      </x:c>
      <x:c r="B37" s="80" t="str">
        <x:v>RT-0034</x:v>
      </x:c>
      <x:c r="C37" s="80" t="str">
        <x:v>SC-US-007</x:v>
      </x:c>
      <x:c r="D37" s="80" t="str">
        <x:v>ユーザー</x:v>
      </x:c>
      <x:c r="E37" s="80" t="str">
        <x:v>プロフィール</x:v>
      </x:c>
      <x:c r="F37" s="80" t="str">
        <x:v>希望条件編集</x:v>
      </x:c>
      <x:c r="G37" s="80" t="str">
        <x:v>画面表示</x:v>
      </x:c>
      <x:c r="H37" s="80" t="str">
        <x:v>GET</x:v>
      </x:c>
      <x:c r="I37" s="80" t="str">
        <x:v>/mypage/profile/preferences</x:v>
      </x:c>
      <x:c r="J37" s="80" t="str">
        <x:v>UserProfileController</x:v>
      </x:c>
      <x:c r="K37" s="80" t="str">
        <x:v>show_sc_us_007</x:v>
      </x:c>
      <x:c r="L37" s="80" t="str">
        <x:v>mypage/profile/preferences</x:v>
      </x:c>
      <x:c r="M37" s="80" t="str">
        <x:v>必要</x:v>
      </x:c>
      <x:c r="N37" s="80" t="str">
        <x:v>ROLE_USER</x:v>
      </x:c>
      <x:c r="O37" s="80" t="str">
        <x:v>同画面を表示</x:v>
      </x:c>
      <x:c r="P37" s="80" t="str">
        <x:v>権限エラーは /error/access、データなしは404画面</x:v>
      </x:c>
      <x:c r="Q37" s="80" t="str">
        <x:v>〇</x:v>
      </x:c>
      <x:c r="R37" s="80" t="str">
        <x:v>第1段階</x:v>
      </x:c>
      <x:c r="S37" s="81" t="str">
        <x:v>画面一覧のURL案を基に作成</x:v>
      </x:c>
    </x:row>
    <x:row r="38" ht="42" customHeight="1">
      <x:c r="A38" s="88" t="n">
        <x:v>35</x:v>
      </x:c>
      <x:c r="B38" s="89" t="str">
        <x:v>RT-0035</x:v>
      </x:c>
      <x:c r="C38" s="89" t="str">
        <x:v>SC-US-007</x:v>
      </x:c>
      <x:c r="D38" s="89" t="str">
        <x:v>ユーザー</x:v>
      </x:c>
      <x:c r="E38" s="89" t="str">
        <x:v>プロフィール</x:v>
      </x:c>
      <x:c r="F38" s="89" t="str">
        <x:v>希望条件編集</x:v>
      </x:c>
      <x:c r="G38" s="89" t="str">
        <x:v>更新</x:v>
      </x:c>
      <x:c r="H38" s="89" t="str">
        <x:v>POST</x:v>
      </x:c>
      <x:c r="I38" s="89" t="str">
        <x:v>/mypage/profile/preferences</x:v>
      </x:c>
      <x:c r="J38" s="89" t="str">
        <x:v>UserProfileController</x:v>
      </x:c>
      <x:c r="K38" s="89" t="str">
        <x:v>update_sc_us_007</x:v>
      </x:c>
      <x:c r="L38" s="89" t="str">
        <x:v>redirect またはファイルレスポンス</x:v>
      </x:c>
      <x:c r="M38" s="89" t="str">
        <x:v>必要</x:v>
      </x:c>
      <x:c r="N38" s="89" t="str">
        <x:v>ROLE_USER</x:v>
      </x:c>
      <x:c r="O38" s="89" t="str">
        <x:v>同画面へ</x:v>
      </x:c>
      <x:c r="P38" s="89" t="str">
        <x:v>入力エラーは元画面へ戻す。業務エラーはメッセージ表示</x:v>
      </x:c>
      <x:c r="Q38" s="89" t="str">
        <x:v>〇</x:v>
      </x:c>
      <x:c r="R38" s="89" t="str">
        <x:v>第1段階</x:v>
      </x:c>
      <x:c r="S38" s="90" t="str">
        <x:v>POSTはCSRF有効。更新処理はService層で権限・所有者を再確認</x:v>
      </x:c>
    </x:row>
    <x:row r="39" ht="42" customHeight="1">
      <x:c r="A39" s="79" t="n">
        <x:v>36</x:v>
      </x:c>
      <x:c r="B39" s="80" t="str">
        <x:v>RT-0036</x:v>
      </x:c>
      <x:c r="C39" s="80" t="str">
        <x:v>SC-US-008</x:v>
      </x:c>
      <x:c r="D39" s="80" t="str">
        <x:v>ユーザー</x:v>
      </x:c>
      <x:c r="E39" s="80" t="str">
        <x:v>プロフィール</x:v>
      </x:c>
      <x:c r="F39" s="80" t="str">
        <x:v>履歴書・職務経歴書管理</x:v>
      </x:c>
      <x:c r="G39" s="80" t="str">
        <x:v>画面表示</x:v>
      </x:c>
      <x:c r="H39" s="80" t="str">
        <x:v>GET</x:v>
      </x:c>
      <x:c r="I39" s="80" t="str">
        <x:v>/mypage/profile/documents</x:v>
      </x:c>
      <x:c r="J39" s="80" t="str">
        <x:v>UserProfileController</x:v>
      </x:c>
      <x:c r="K39" s="80" t="str">
        <x:v>show_sc_us_008</x:v>
      </x:c>
      <x:c r="L39" s="80" t="str">
        <x:v>mypage/profile/documents</x:v>
      </x:c>
      <x:c r="M39" s="80" t="str">
        <x:v>必要</x:v>
      </x:c>
      <x:c r="N39" s="80" t="str">
        <x:v>ROLE_USER</x:v>
      </x:c>
      <x:c r="O39" s="80" t="str">
        <x:v>同画面を表示</x:v>
      </x:c>
      <x:c r="P39" s="80" t="str">
        <x:v>権限エラーは /error/access、データなしは404画面</x:v>
      </x:c>
      <x:c r="Q39" s="80" t="str">
        <x:v>△</x:v>
      </x:c>
      <x:c r="R39" s="80" t="str">
        <x:v>第2段階</x:v>
      </x:c>
      <x:c r="S39" s="81" t="str">
        <x:v>画面一覧のURL案を基に作成</x:v>
      </x:c>
    </x:row>
    <x:row r="40" ht="42" customHeight="1">
      <x:c r="A40" s="88" t="n">
        <x:v>37</x:v>
      </x:c>
      <x:c r="B40" s="89" t="str">
        <x:v>RT-0037</x:v>
      </x:c>
      <x:c r="C40" s="89" t="str">
        <x:v>SC-US-008</x:v>
      </x:c>
      <x:c r="D40" s="89" t="str">
        <x:v>ユーザー</x:v>
      </x:c>
      <x:c r="E40" s="89" t="str">
        <x:v>プロフィール</x:v>
      </x:c>
      <x:c r="F40" s="89" t="str">
        <x:v>履歴書・職務経歴書管理</x:v>
      </x:c>
      <x:c r="G40" s="89" t="str">
        <x:v>アップロード</x:v>
      </x:c>
      <x:c r="H40" s="89" t="str">
        <x:v>POST</x:v>
      </x:c>
      <x:c r="I40" s="89" t="str">
        <x:v>/mypage/profile/documents</x:v>
      </x:c>
      <x:c r="J40" s="89" t="str">
        <x:v>UserProfileController</x:v>
      </x:c>
      <x:c r="K40" s="89" t="str">
        <x:v>upload_sc_us_008</x:v>
      </x:c>
      <x:c r="L40" s="89" t="str">
        <x:v>redirect またはファイルレスポンス</x:v>
      </x:c>
      <x:c r="M40" s="89" t="str">
        <x:v>必要</x:v>
      </x:c>
      <x:c r="N40" s="89" t="str">
        <x:v>ROLE_USER</x:v>
      </x:c>
      <x:c r="O40" s="89" t="str">
        <x:v>同画面へ</x:v>
      </x:c>
      <x:c r="P40" s="89" t="str">
        <x:v>入力エラーは元画面へ戻す。業務エラーはメッセージ表示</x:v>
      </x:c>
      <x:c r="Q40" s="89" t="str">
        <x:v>△</x:v>
      </x:c>
      <x:c r="R40" s="89" t="str">
        <x:v>第2段階</x:v>
      </x:c>
      <x:c r="S40" s="90" t="str">
        <x:v>POSTはCSRF有効。更新処理はService層で権限・所有者を再確認</x:v>
      </x:c>
    </x:row>
    <x:row r="41" ht="42" customHeight="1">
      <x:c r="A41" s="79" t="n">
        <x:v>38</x:v>
      </x:c>
      <x:c r="B41" s="80" t="str">
        <x:v>RT-0038</x:v>
      </x:c>
      <x:c r="C41" s="80" t="str">
        <x:v>SC-US-009</x:v>
      </x:c>
      <x:c r="D41" s="80" t="str">
        <x:v>ユーザー</x:v>
      </x:c>
      <x:c r="E41" s="80" t="str">
        <x:v>プロフィール</x:v>
      </x:c>
      <x:c r="F41" s="80" t="str">
        <x:v>プロフィール公開範囲設定</x:v>
      </x:c>
      <x:c r="G41" s="80" t="str">
        <x:v>画面表示</x:v>
      </x:c>
      <x:c r="H41" s="80" t="str">
        <x:v>GET</x:v>
      </x:c>
      <x:c r="I41" s="80" t="str">
        <x:v>/mypage/profile/privacy</x:v>
      </x:c>
      <x:c r="J41" s="80" t="str">
        <x:v>UserProfileController</x:v>
      </x:c>
      <x:c r="K41" s="80" t="str">
        <x:v>show_sc_us_009</x:v>
      </x:c>
      <x:c r="L41" s="80" t="str">
        <x:v>mypage/profile/privacy</x:v>
      </x:c>
      <x:c r="M41" s="80" t="str">
        <x:v>必要</x:v>
      </x:c>
      <x:c r="N41" s="80" t="str">
        <x:v>ROLE_USER</x:v>
      </x:c>
      <x:c r="O41" s="80" t="str">
        <x:v>同画面を表示</x:v>
      </x:c>
      <x:c r="P41" s="80" t="str">
        <x:v>権限エラーは /error/access、データなしは404画面</x:v>
      </x:c>
      <x:c r="Q41" s="80" t="str">
        <x:v>△</x:v>
      </x:c>
      <x:c r="R41" s="80" t="str">
        <x:v>第2段階</x:v>
      </x:c>
      <x:c r="S41" s="81" t="str">
        <x:v>画面一覧のURL案を基に作成</x:v>
      </x:c>
    </x:row>
    <x:row r="42" ht="42" customHeight="1">
      <x:c r="A42" s="88" t="n">
        <x:v>39</x:v>
      </x:c>
      <x:c r="B42" s="89" t="str">
        <x:v>RT-0039</x:v>
      </x:c>
      <x:c r="C42" s="89" t="str">
        <x:v>SC-US-009</x:v>
      </x:c>
      <x:c r="D42" s="89" t="str">
        <x:v>ユーザー</x:v>
      </x:c>
      <x:c r="E42" s="89" t="str">
        <x:v>プロフィール</x:v>
      </x:c>
      <x:c r="F42" s="89" t="str">
        <x:v>プロフィール公開範囲設定</x:v>
      </x:c>
      <x:c r="G42" s="89" t="str">
        <x:v>更新</x:v>
      </x:c>
      <x:c r="H42" s="89" t="str">
        <x:v>POST</x:v>
      </x:c>
      <x:c r="I42" s="89" t="str">
        <x:v>/mypage/profile/privacy</x:v>
      </x:c>
      <x:c r="J42" s="89" t="str">
        <x:v>UserProfileController</x:v>
      </x:c>
      <x:c r="K42" s="89" t="str">
        <x:v>update_sc_us_009</x:v>
      </x:c>
      <x:c r="L42" s="89" t="str">
        <x:v>redirect またはファイルレスポンス</x:v>
      </x:c>
      <x:c r="M42" s="89" t="str">
        <x:v>必要</x:v>
      </x:c>
      <x:c r="N42" s="89" t="str">
        <x:v>ROLE_USER</x:v>
      </x:c>
      <x:c r="O42" s="89" t="str">
        <x:v>同画面へ</x:v>
      </x:c>
      <x:c r="P42" s="89" t="str">
        <x:v>入力エラーは元画面へ戻す。業務エラーはメッセージ表示</x:v>
      </x:c>
      <x:c r="Q42" s="89" t="str">
        <x:v>△</x:v>
      </x:c>
      <x:c r="R42" s="89" t="str">
        <x:v>第2段階</x:v>
      </x:c>
      <x:c r="S42" s="90" t="str">
        <x:v>POSTはCSRF有効。更新処理はService層で権限・所有者を再確認</x:v>
      </x:c>
    </x:row>
    <x:row r="43" ht="42" customHeight="1">
      <x:c r="A43" s="79" t="n">
        <x:v>40</x:v>
      </x:c>
      <x:c r="B43" s="80" t="str">
        <x:v>RT-0040</x:v>
      </x:c>
      <x:c r="C43" s="80" t="str">
        <x:v>SC-US-010</x:v>
      </x:c>
      <x:c r="D43" s="80" t="str">
        <x:v>ユーザー</x:v>
      </x:c>
      <x:c r="E43" s="80" t="str">
        <x:v>応募</x:v>
      </x:c>
      <x:c r="F43" s="80" t="str">
        <x:v>求人応募確認</x:v>
      </x:c>
      <x:c r="G43" s="80" t="str">
        <x:v>画面表示</x:v>
      </x:c>
      <x:c r="H43" s="80" t="str">
        <x:v>GET</x:v>
      </x:c>
      <x:c r="I43" s="80" t="str">
        <x:v>/jobs/{jobId}/apply</x:v>
      </x:c>
      <x:c r="J43" s="80" t="str">
        <x:v>PublicJobController</x:v>
      </x:c>
      <x:c r="K43" s="80" t="str">
        <x:v>show_sc_us_010</x:v>
      </x:c>
      <x:c r="L43" s="80" t="str">
        <x:v>public/jobs/apply</x:v>
      </x:c>
      <x:c r="M43" s="80" t="str">
        <x:v>必要</x:v>
      </x:c>
      <x:c r="N43" s="80" t="str">
        <x:v>ROLE_USER</x:v>
      </x:c>
      <x:c r="O43" s="80" t="str">
        <x:v>同画面を表示</x:v>
      </x:c>
      <x:c r="P43" s="80" t="str">
        <x:v>権限エラーは /error/access、データなしは404画面</x:v>
      </x:c>
      <x:c r="Q43" s="80" t="str">
        <x:v>〇</x:v>
      </x:c>
      <x:c r="R43" s="80" t="str">
        <x:v>第1段階</x:v>
      </x:c>
      <x:c r="S43" s="81" t="str">
        <x:v>画面一覧のURL案を基に作成</x:v>
      </x:c>
    </x:row>
    <x:row r="44" ht="42" customHeight="1">
      <x:c r="A44" s="88" t="n">
        <x:v>41</x:v>
      </x:c>
      <x:c r="B44" s="89" t="str">
        <x:v>RT-0041</x:v>
      </x:c>
      <x:c r="C44" s="89" t="str">
        <x:v>SC-US-010</x:v>
      </x:c>
      <x:c r="D44" s="89" t="str">
        <x:v>ユーザー</x:v>
      </x:c>
      <x:c r="E44" s="89" t="str">
        <x:v>応募</x:v>
      </x:c>
      <x:c r="F44" s="89" t="str">
        <x:v>求人応募確認</x:v>
      </x:c>
      <x:c r="G44" s="89" t="str">
        <x:v>応募</x:v>
      </x:c>
      <x:c r="H44" s="89" t="str">
        <x:v>POST</x:v>
      </x:c>
      <x:c r="I44" s="89" t="str">
        <x:v>/jobs/{jobId}/apply</x:v>
      </x:c>
      <x:c r="J44" s="89" t="str">
        <x:v>PublicJobController</x:v>
      </x:c>
      <x:c r="K44" s="89" t="str">
        <x:v>apply_sc_us_010</x:v>
      </x:c>
      <x:c r="L44" s="89" t="str">
        <x:v>redirect またはファイルレスポンス</x:v>
      </x:c>
      <x:c r="M44" s="89" t="str">
        <x:v>必要</x:v>
      </x:c>
      <x:c r="N44" s="89" t="str">
        <x:v>ROLE_USER</x:v>
      </x:c>
      <x:c r="O44" s="89" t="str">
        <x:v>応募完了へ</x:v>
      </x:c>
      <x:c r="P44" s="89" t="str">
        <x:v>入力エラーは元画面へ戻す。業務エラーはメッセージ表示</x:v>
      </x:c>
      <x:c r="Q44" s="89" t="str">
        <x:v>〇</x:v>
      </x:c>
      <x:c r="R44" s="89" t="str">
        <x:v>第1段階</x:v>
      </x:c>
      <x:c r="S44" s="90" t="str">
        <x:v>POSTはCSRF有効。更新処理はService層で権限・所有者を再確認</x:v>
      </x:c>
    </x:row>
    <x:row r="45" ht="42" customHeight="1">
      <x:c r="A45" s="79" t="n">
        <x:v>42</x:v>
      </x:c>
      <x:c r="B45" s="80" t="str">
        <x:v>RT-0042</x:v>
      </x:c>
      <x:c r="C45" s="80" t="str">
        <x:v>SC-US-011</x:v>
      </x:c>
      <x:c r="D45" s="80" t="str">
        <x:v>ユーザー</x:v>
      </x:c>
      <x:c r="E45" s="80" t="str">
        <x:v>応募</x:v>
      </x:c>
      <x:c r="F45" s="80" t="str">
        <x:v>応募完了</x:v>
      </x:c>
      <x:c r="G45" s="80" t="str">
        <x:v>画面表示</x:v>
      </x:c>
      <x:c r="H45" s="80" t="str">
        <x:v>GET</x:v>
      </x:c>
      <x:c r="I45" s="80" t="str">
        <x:v>/jobs/{jobId}/apply/complete</x:v>
      </x:c>
      <x:c r="J45" s="80" t="str">
        <x:v>PublicJobController</x:v>
      </x:c>
      <x:c r="K45" s="80" t="str">
        <x:v>show_sc_us_011</x:v>
      </x:c>
      <x:c r="L45" s="80" t="str">
        <x:v>public/jobs/apply/complete</x:v>
      </x:c>
      <x:c r="M45" s="80" t="str">
        <x:v>必要</x:v>
      </x:c>
      <x:c r="N45" s="80" t="str">
        <x:v>ROLE_USER</x:v>
      </x:c>
      <x:c r="O45" s="80" t="str">
        <x:v>同画面を表示</x:v>
      </x:c>
      <x:c r="P45" s="80" t="str">
        <x:v>権限エラーは /error/access、データなしは404画面</x:v>
      </x:c>
      <x:c r="Q45" s="80" t="str">
        <x:v>〇</x:v>
      </x:c>
      <x:c r="R45" s="80" t="str">
        <x:v>第1段階</x:v>
      </x:c>
      <x:c r="S45" s="81" t="str">
        <x:v>画面一覧のURL案を基に作成</x:v>
      </x:c>
    </x:row>
    <x:row r="46" ht="42" customHeight="1">
      <x:c r="A46" s="88" t="n">
        <x:v>43</x:v>
      </x:c>
      <x:c r="B46" s="89" t="str">
        <x:v>RT-0043</x:v>
      </x:c>
      <x:c r="C46" s="89" t="str">
        <x:v>SC-US-012</x:v>
      </x:c>
      <x:c r="D46" s="89" t="str">
        <x:v>ユーザー</x:v>
      </x:c>
      <x:c r="E46" s="89" t="str">
        <x:v>応募</x:v>
      </x:c>
      <x:c r="F46" s="89" t="str">
        <x:v>応募履歴一覧</x:v>
      </x:c>
      <x:c r="G46" s="89" t="str">
        <x:v>画面表示</x:v>
      </x:c>
      <x:c r="H46" s="89" t="str">
        <x:v>GET</x:v>
      </x:c>
      <x:c r="I46" s="89" t="str">
        <x:v>/mypage/applications</x:v>
      </x:c>
      <x:c r="J46" s="89" t="str">
        <x:v>UserApplicationController</x:v>
      </x:c>
      <x:c r="K46" s="89" t="str">
        <x:v>show_sc_us_012</x:v>
      </x:c>
      <x:c r="L46" s="89" t="str">
        <x:v>mypage/applications</x:v>
      </x:c>
      <x:c r="M46" s="89" t="str">
        <x:v>必要</x:v>
      </x:c>
      <x:c r="N46" s="89" t="str">
        <x:v>ROLE_USER</x:v>
      </x:c>
      <x:c r="O46" s="89" t="str">
        <x:v>同画面を表示</x:v>
      </x:c>
      <x:c r="P46" s="89" t="str">
        <x:v>権限エラーは /error/access、データなしは404画面</x:v>
      </x:c>
      <x:c r="Q46" s="89" t="str">
        <x:v>〇</x:v>
      </x:c>
      <x:c r="R46" s="89" t="str">
        <x:v>第1段階</x:v>
      </x:c>
      <x:c r="S46" s="90" t="str">
        <x:v>画面一覧のURL案を基に作成</x:v>
      </x:c>
    </x:row>
    <x:row r="47" ht="42" customHeight="1">
      <x:c r="A47" s="79" t="n">
        <x:v>44</x:v>
      </x:c>
      <x:c r="B47" s="80" t="str">
        <x:v>RT-0044</x:v>
      </x:c>
      <x:c r="C47" s="80" t="str">
        <x:v>SC-US-013</x:v>
      </x:c>
      <x:c r="D47" s="80" t="str">
        <x:v>ユーザー</x:v>
      </x:c>
      <x:c r="E47" s="80" t="str">
        <x:v>応募</x:v>
      </x:c>
      <x:c r="F47" s="80" t="str">
        <x:v>応募詳細</x:v>
      </x:c>
      <x:c r="G47" s="80" t="str">
        <x:v>画面表示</x:v>
      </x:c>
      <x:c r="H47" s="80" t="str">
        <x:v>GET</x:v>
      </x:c>
      <x:c r="I47" s="80" t="str">
        <x:v>/mypage/applications/{applicationId}</x:v>
      </x:c>
      <x:c r="J47" s="80" t="str">
        <x:v>UserApplicationController</x:v>
      </x:c>
      <x:c r="K47" s="80" t="str">
        <x:v>show_sc_us_013</x:v>
      </x:c>
      <x:c r="L47" s="80" t="str">
        <x:v>mypage/applications/detail</x:v>
      </x:c>
      <x:c r="M47" s="80" t="str">
        <x:v>必要</x:v>
      </x:c>
      <x:c r="N47" s="80" t="str">
        <x:v>ROLE_USER</x:v>
      </x:c>
      <x:c r="O47" s="80" t="str">
        <x:v>同画面を表示</x:v>
      </x:c>
      <x:c r="P47" s="80" t="str">
        <x:v>権限エラーは /error/access、データなしは404画面</x:v>
      </x:c>
      <x:c r="Q47" s="80" t="str">
        <x:v>〇</x:v>
      </x:c>
      <x:c r="R47" s="80" t="str">
        <x:v>第1段階</x:v>
      </x:c>
      <x:c r="S47" s="81" t="str">
        <x:v>画面一覧のURL案を基に作成</x:v>
      </x:c>
    </x:row>
    <x:row r="48" ht="42" customHeight="1">
      <x:c r="A48" s="88" t="n">
        <x:v>45</x:v>
      </x:c>
      <x:c r="B48" s="89" t="str">
        <x:v>RT-0045</x:v>
      </x:c>
      <x:c r="C48" s="89" t="str">
        <x:v>SC-US-014</x:v>
      </x:c>
      <x:c r="D48" s="89" t="str">
        <x:v>ユーザー</x:v>
      </x:c>
      <x:c r="E48" s="89" t="str">
        <x:v>応募</x:v>
      </x:c>
      <x:c r="F48" s="89" t="str">
        <x:v>応募辞退確認</x:v>
      </x:c>
      <x:c r="G48" s="89" t="str">
        <x:v>ダイアログ表示</x:v>
      </x:c>
      <x:c r="H48" s="89" t="str">
        <x:v>GET</x:v>
      </x:c>
      <x:c r="I48" s="89" t="str">
        <x:v>/mypage/applications/{applicationId}/withdraw</x:v>
      </x:c>
      <x:c r="J48" s="89" t="str">
        <x:v>UserApplicationController</x:v>
      </x:c>
      <x:c r="K48" s="89" t="str">
        <x:v>show_sc_us_014</x:v>
      </x:c>
      <x:c r="L48" s="89" t="str">
        <x:v>mypage/applications/withdraw</x:v>
      </x:c>
      <x:c r="M48" s="89" t="str">
        <x:v>必要</x:v>
      </x:c>
      <x:c r="N48" s="89" t="str">
        <x:v>ROLE_USER</x:v>
      </x:c>
      <x:c r="O48" s="89" t="str">
        <x:v>同画面を表示</x:v>
      </x:c>
      <x:c r="P48" s="89" t="str">
        <x:v>権限エラーは /error/access、データなしは404画面</x:v>
      </x:c>
      <x:c r="Q48" s="89" t="str">
        <x:v>〇</x:v>
      </x:c>
      <x:c r="R48" s="89" t="str">
        <x:v>第1段階</x:v>
      </x:c>
      <x:c r="S48" s="90" t="str">
        <x:v>画面一覧のURL案を基に作成</x:v>
      </x:c>
    </x:row>
    <x:row r="49" ht="42" customHeight="1">
      <x:c r="A49" s="79" t="n">
        <x:v>46</x:v>
      </x:c>
      <x:c r="B49" s="80" t="str">
        <x:v>RT-0046</x:v>
      </x:c>
      <x:c r="C49" s="80" t="str">
        <x:v>SC-US-014</x:v>
      </x:c>
      <x:c r="D49" s="80" t="str">
        <x:v>ユーザー</x:v>
      </x:c>
      <x:c r="E49" s="80" t="str">
        <x:v>応募</x:v>
      </x:c>
      <x:c r="F49" s="80" t="str">
        <x:v>応募辞退確認</x:v>
      </x:c>
      <x:c r="G49" s="80" t="str">
        <x:v>辞退</x:v>
      </x:c>
      <x:c r="H49" s="80" t="str">
        <x:v>POST</x:v>
      </x:c>
      <x:c r="I49" s="80" t="str">
        <x:v>/mypage/applications/{applicationId}/withdraw</x:v>
      </x:c>
      <x:c r="J49" s="80" t="str">
        <x:v>UserApplicationController</x:v>
      </x:c>
      <x:c r="K49" s="80" t="str">
        <x:v>withdraw_sc_us_014</x:v>
      </x:c>
      <x:c r="L49" s="80" t="str">
        <x:v>redirect またはファイルレスポンス</x:v>
      </x:c>
      <x:c r="M49" s="80" t="str">
        <x:v>必要</x:v>
      </x:c>
      <x:c r="N49" s="80" t="str">
        <x:v>ROLE_USER</x:v>
      </x:c>
      <x:c r="O49" s="80" t="str">
        <x:v>応募詳細へ</x:v>
      </x:c>
      <x:c r="P49" s="80" t="str">
        <x:v>入力エラーは元画面へ戻す。業務エラーはメッセージ表示</x:v>
      </x:c>
      <x:c r="Q49" s="80" t="str">
        <x:v>〇</x:v>
      </x:c>
      <x:c r="R49" s="80" t="str">
        <x:v>第1段階</x:v>
      </x:c>
      <x:c r="S49" s="81" t="str">
        <x:v>POSTはCSRF有効。更新処理はService層で権限・所有者を再確認</x:v>
      </x:c>
    </x:row>
    <x:row r="50" ht="42" customHeight="1">
      <x:c r="A50" s="88" t="n">
        <x:v>47</x:v>
      </x:c>
      <x:c r="B50" s="89" t="str">
        <x:v>RT-0047</x:v>
      </x:c>
      <x:c r="C50" s="89" t="str">
        <x:v>SC-US-015</x:v>
      </x:c>
      <x:c r="D50" s="89" t="str">
        <x:v>ユーザー</x:v>
      </x:c>
      <x:c r="E50" s="89" t="str">
        <x:v>応募</x:v>
      </x:c>
      <x:c r="F50" s="89" t="str">
        <x:v>内定承諾・辞退</x:v>
      </x:c>
      <x:c r="G50" s="89" t="str">
        <x:v>画面表示</x:v>
      </x:c>
      <x:c r="H50" s="89" t="str">
        <x:v>GET</x:v>
      </x:c>
      <x:c r="I50" s="89" t="str">
        <x:v>/mypage/applications/{applicationId}/offer</x:v>
      </x:c>
      <x:c r="J50" s="89" t="str">
        <x:v>UserApplicationController</x:v>
      </x:c>
      <x:c r="K50" s="89" t="str">
        <x:v>show_sc_us_015</x:v>
      </x:c>
      <x:c r="L50" s="89" t="str">
        <x:v>mypage/applications/offer</x:v>
      </x:c>
      <x:c r="M50" s="89" t="str">
        <x:v>必要</x:v>
      </x:c>
      <x:c r="N50" s="89" t="str">
        <x:v>ROLE_USER</x:v>
      </x:c>
      <x:c r="O50" s="89" t="str">
        <x:v>同画面を表示</x:v>
      </x:c>
      <x:c r="P50" s="89" t="str">
        <x:v>権限エラーは /error/access、データなしは404画面</x:v>
      </x:c>
      <x:c r="Q50" s="89" t="str">
        <x:v>△</x:v>
      </x:c>
      <x:c r="R50" s="89" t="str">
        <x:v>第2段階</x:v>
      </x:c>
      <x:c r="S50" s="90" t="str">
        <x:v>画面一覧のURL案を基に作成</x:v>
      </x:c>
    </x:row>
    <x:row r="51" ht="42" customHeight="1">
      <x:c r="A51" s="79" t="n">
        <x:v>48</x:v>
      </x:c>
      <x:c r="B51" s="80" t="str">
        <x:v>RT-0048</x:v>
      </x:c>
      <x:c r="C51" s="80" t="str">
        <x:v>SC-US-015</x:v>
      </x:c>
      <x:c r="D51" s="80" t="str">
        <x:v>ユーザー</x:v>
      </x:c>
      <x:c r="E51" s="80" t="str">
        <x:v>応募</x:v>
      </x:c>
      <x:c r="F51" s="80" t="str">
        <x:v>内定承諾・辞退</x:v>
      </x:c>
      <x:c r="G51" s="80" t="str">
        <x:v>回答</x:v>
      </x:c>
      <x:c r="H51" s="80" t="str">
        <x:v>POST</x:v>
      </x:c>
      <x:c r="I51" s="80" t="str">
        <x:v>/mypage/applications/{applicationId}/offer</x:v>
      </x:c>
      <x:c r="J51" s="80" t="str">
        <x:v>UserApplicationController</x:v>
      </x:c>
      <x:c r="K51" s="80" t="str">
        <x:v>respond_sc_us_015</x:v>
      </x:c>
      <x:c r="L51" s="80" t="str">
        <x:v>redirect またはファイルレスポンス</x:v>
      </x:c>
      <x:c r="M51" s="80" t="str">
        <x:v>必要</x:v>
      </x:c>
      <x:c r="N51" s="80" t="str">
        <x:v>ROLE_USER</x:v>
      </x:c>
      <x:c r="O51" s="80" t="str">
        <x:v>応募詳細へ</x:v>
      </x:c>
      <x:c r="P51" s="80" t="str">
        <x:v>入力エラーは元画面へ戻す。業務エラーはメッセージ表示</x:v>
      </x:c>
      <x:c r="Q51" s="80" t="str">
        <x:v>△</x:v>
      </x:c>
      <x:c r="R51" s="80" t="str">
        <x:v>第2段階</x:v>
      </x:c>
      <x:c r="S51" s="81" t="str">
        <x:v>POSTはCSRF有効。更新処理はService層で権限・所有者を再確認</x:v>
      </x:c>
    </x:row>
    <x:row r="52" ht="42" customHeight="1">
      <x:c r="A52" s="88" t="n">
        <x:v>49</x:v>
      </x:c>
      <x:c r="B52" s="89" t="str">
        <x:v>RT-0049</x:v>
      </x:c>
      <x:c r="C52" s="89" t="str">
        <x:v>SC-US-016</x:v>
      </x:c>
      <x:c r="D52" s="89" t="str">
        <x:v>ユーザー</x:v>
      </x:c>
      <x:c r="E52" s="89" t="str">
        <x:v>お気に入り</x:v>
      </x:c>
      <x:c r="F52" s="89" t="str">
        <x:v>お気に入り求人一覧</x:v>
      </x:c>
      <x:c r="G52" s="89" t="str">
        <x:v>画面表示</x:v>
      </x:c>
      <x:c r="H52" s="89" t="str">
        <x:v>GET</x:v>
      </x:c>
      <x:c r="I52" s="89" t="str">
        <x:v>/mypage/favorites/jobs</x:v>
      </x:c>
      <x:c r="J52" s="89" t="str">
        <x:v>UserFavoriteController</x:v>
      </x:c>
      <x:c r="K52" s="89" t="str">
        <x:v>show_sc_us_016</x:v>
      </x:c>
      <x:c r="L52" s="89" t="str">
        <x:v>mypage/favorites/jobs</x:v>
      </x:c>
      <x:c r="M52" s="89" t="str">
        <x:v>必要</x:v>
      </x:c>
      <x:c r="N52" s="89" t="str">
        <x:v>ROLE_USER</x:v>
      </x:c>
      <x:c r="O52" s="89" t="str">
        <x:v>同画面を表示</x:v>
      </x:c>
      <x:c r="P52" s="89" t="str">
        <x:v>権限エラーは /error/access、データなしは404画面</x:v>
      </x:c>
      <x:c r="Q52" s="89" t="str">
        <x:v>〇</x:v>
      </x:c>
      <x:c r="R52" s="89" t="str">
        <x:v>第1段階</x:v>
      </x:c>
      <x:c r="S52" s="90" t="str">
        <x:v>画面一覧のURL案を基に作成</x:v>
      </x:c>
    </x:row>
    <x:row r="53" ht="42" customHeight="1">
      <x:c r="A53" s="79" t="n">
        <x:v>50</x:v>
      </x:c>
      <x:c r="B53" s="80" t="str">
        <x:v>RT-0050</x:v>
      </x:c>
      <x:c r="C53" s="80" t="str">
        <x:v>SC-US-017</x:v>
      </x:c>
      <x:c r="D53" s="80" t="str">
        <x:v>ユーザー</x:v>
      </x:c>
      <x:c r="E53" s="80" t="str">
        <x:v>お気に入り</x:v>
      </x:c>
      <x:c r="F53" s="80" t="str">
        <x:v>お気に入り企業一覧</x:v>
      </x:c>
      <x:c r="G53" s="80" t="str">
        <x:v>画面表示</x:v>
      </x:c>
      <x:c r="H53" s="80" t="str">
        <x:v>GET</x:v>
      </x:c>
      <x:c r="I53" s="80" t="str">
        <x:v>/mypage/favorites/companies</x:v>
      </x:c>
      <x:c r="J53" s="80" t="str">
        <x:v>UserFavoriteController</x:v>
      </x:c>
      <x:c r="K53" s="80" t="str">
        <x:v>show_sc_us_017</x:v>
      </x:c>
      <x:c r="L53" s="80" t="str">
        <x:v>mypage/favorites/companies</x:v>
      </x:c>
      <x:c r="M53" s="80" t="str">
        <x:v>必要</x:v>
      </x:c>
      <x:c r="N53" s="80" t="str">
        <x:v>ROLE_USER</x:v>
      </x:c>
      <x:c r="O53" s="80" t="str">
        <x:v>同画面を表示</x:v>
      </x:c>
      <x:c r="P53" s="80" t="str">
        <x:v>権限エラーは /error/access、データなしは404画面</x:v>
      </x:c>
      <x:c r="Q53" s="80" t="str">
        <x:v>△</x:v>
      </x:c>
      <x:c r="R53" s="80" t="str">
        <x:v>第2段階</x:v>
      </x:c>
      <x:c r="S53" s="81" t="str">
        <x:v>画面一覧のURL案を基に作成</x:v>
      </x:c>
    </x:row>
    <x:row r="54" ht="42" customHeight="1">
      <x:c r="A54" s="88" t="n">
        <x:v>51</x:v>
      </x:c>
      <x:c r="B54" s="89" t="str">
        <x:v>RT-0051</x:v>
      </x:c>
      <x:c r="C54" s="89" t="str">
        <x:v>SC-US-018</x:v>
      </x:c>
      <x:c r="D54" s="89" t="str">
        <x:v>ユーザー</x:v>
      </x:c>
      <x:c r="E54" s="89" t="str">
        <x:v>チャット</x:v>
      </x:c>
      <x:c r="F54" s="89" t="str">
        <x:v>チャット一覧</x:v>
      </x:c>
      <x:c r="G54" s="89" t="str">
        <x:v>画面表示</x:v>
      </x:c>
      <x:c r="H54" s="89" t="str">
        <x:v>GET</x:v>
      </x:c>
      <x:c r="I54" s="89" t="str">
        <x:v>/mypage/chats</x:v>
      </x:c>
      <x:c r="J54" s="89" t="str">
        <x:v>UserChatController</x:v>
      </x:c>
      <x:c r="K54" s="89" t="str">
        <x:v>show_sc_us_018</x:v>
      </x:c>
      <x:c r="L54" s="89" t="str">
        <x:v>mypage/chats</x:v>
      </x:c>
      <x:c r="M54" s="89" t="str">
        <x:v>必要</x:v>
      </x:c>
      <x:c r="N54" s="89" t="str">
        <x:v>ROLE_USER</x:v>
      </x:c>
      <x:c r="O54" s="89" t="str">
        <x:v>同画面を表示</x:v>
      </x:c>
      <x:c r="P54" s="89" t="str">
        <x:v>権限エラーは /error/access、データなしは404画面</x:v>
      </x:c>
      <x:c r="Q54" s="89" t="str">
        <x:v>〇</x:v>
      </x:c>
      <x:c r="R54" s="89" t="str">
        <x:v>第1段階</x:v>
      </x:c>
      <x:c r="S54" s="90" t="str">
        <x:v>画面一覧のURL案を基に作成</x:v>
      </x:c>
    </x:row>
    <x:row r="55" ht="42" customHeight="1">
      <x:c r="A55" s="79" t="n">
        <x:v>52</x:v>
      </x:c>
      <x:c r="B55" s="80" t="str">
        <x:v>RT-0052</x:v>
      </x:c>
      <x:c r="C55" s="80" t="str">
        <x:v>SC-US-019</x:v>
      </x:c>
      <x:c r="D55" s="80" t="str">
        <x:v>ユーザー</x:v>
      </x:c>
      <x:c r="E55" s="80" t="str">
        <x:v>チャット</x:v>
      </x:c>
      <x:c r="F55" s="80" t="str">
        <x:v>チャットルーム</x:v>
      </x:c>
      <x:c r="G55" s="80" t="str">
        <x:v>画面表示</x:v>
      </x:c>
      <x:c r="H55" s="80" t="str">
        <x:v>GET</x:v>
      </x:c>
      <x:c r="I55" s="80" t="str">
        <x:v>/mypage/chats/{roomId}</x:v>
      </x:c>
      <x:c r="J55" s="80" t="str">
        <x:v>UserChatController</x:v>
      </x:c>
      <x:c r="K55" s="80" t="str">
        <x:v>show_sc_us_019</x:v>
      </x:c>
      <x:c r="L55" s="80" t="str">
        <x:v>mypage/chats/detail</x:v>
      </x:c>
      <x:c r="M55" s="80" t="str">
        <x:v>必要</x:v>
      </x:c>
      <x:c r="N55" s="80" t="str">
        <x:v>ROLE_USER</x:v>
      </x:c>
      <x:c r="O55" s="80" t="str">
        <x:v>同画面を表示</x:v>
      </x:c>
      <x:c r="P55" s="80" t="str">
        <x:v>権限エラーは /error/access、データなしは404画面</x:v>
      </x:c>
      <x:c r="Q55" s="80" t="str">
        <x:v>〇</x:v>
      </x:c>
      <x:c r="R55" s="80" t="str">
        <x:v>第1段階</x:v>
      </x:c>
      <x:c r="S55" s="81" t="str">
        <x:v>画面一覧のURL案を基に作成</x:v>
      </x:c>
    </x:row>
    <x:row r="56" ht="42" customHeight="1">
      <x:c r="A56" s="88" t="n">
        <x:v>53</x:v>
      </x:c>
      <x:c r="B56" s="89" t="str">
        <x:v>RT-0053</x:v>
      </x:c>
      <x:c r="C56" s="89" t="str">
        <x:v>SC-US-020</x:v>
      </x:c>
      <x:c r="D56" s="89" t="str">
        <x:v>ユーザー</x:v>
      </x:c>
      <x:c r="E56" s="89" t="str">
        <x:v>チャット</x:v>
      </x:c>
      <x:c r="F56" s="89" t="str">
        <x:v>企業問い合わせ開始</x:v>
      </x:c>
      <x:c r="G56" s="89" t="str">
        <x:v>ダイアログ表示</x:v>
      </x:c>
      <x:c r="H56" s="89" t="str">
        <x:v>GET</x:v>
      </x:c>
      <x:c r="I56" s="89" t="str">
        <x:v>/companies/{companyId}/contact</x:v>
      </x:c>
      <x:c r="J56" s="89" t="str">
        <x:v>PublicCompanyController</x:v>
      </x:c>
      <x:c r="K56" s="89" t="str">
        <x:v>show_sc_us_020</x:v>
      </x:c>
      <x:c r="L56" s="89" t="str">
        <x:v>public/companies/contact</x:v>
      </x:c>
      <x:c r="M56" s="89" t="str">
        <x:v>必要</x:v>
      </x:c>
      <x:c r="N56" s="89" t="str">
        <x:v>ROLE_USER</x:v>
      </x:c>
      <x:c r="O56" s="89" t="str">
        <x:v>同画面を表示</x:v>
      </x:c>
      <x:c r="P56" s="89" t="str">
        <x:v>権限エラーは /error/access、データなしは404画面</x:v>
      </x:c>
      <x:c r="Q56" s="89" t="str">
        <x:v>〇</x:v>
      </x:c>
      <x:c r="R56" s="89" t="str">
        <x:v>第1段階</x:v>
      </x:c>
      <x:c r="S56" s="90" t="str">
        <x:v>画面一覧のURL案を基に作成</x:v>
      </x:c>
    </x:row>
    <x:row r="57" ht="42" customHeight="1">
      <x:c r="A57" s="79" t="n">
        <x:v>54</x:v>
      </x:c>
      <x:c r="B57" s="80" t="str">
        <x:v>RT-0054</x:v>
      </x:c>
      <x:c r="C57" s="80" t="str">
        <x:v>SC-US-020</x:v>
      </x:c>
      <x:c r="D57" s="80" t="str">
        <x:v>ユーザー</x:v>
      </x:c>
      <x:c r="E57" s="80" t="str">
        <x:v>チャット</x:v>
      </x:c>
      <x:c r="F57" s="80" t="str">
        <x:v>企業問い合わせ開始</x:v>
      </x:c>
      <x:c r="G57" s="80" t="str">
        <x:v>作成</x:v>
      </x:c>
      <x:c r="H57" s="80" t="str">
        <x:v>POST</x:v>
      </x:c>
      <x:c r="I57" s="80" t="str">
        <x:v>/companies/{companyId}/contact</x:v>
      </x:c>
      <x:c r="J57" s="80" t="str">
        <x:v>PublicCompanyController</x:v>
      </x:c>
      <x:c r="K57" s="80" t="str">
        <x:v>create_sc_us_020</x:v>
      </x:c>
      <x:c r="L57" s="80" t="str">
        <x:v>redirect またはファイルレスポンス</x:v>
      </x:c>
      <x:c r="M57" s="80" t="str">
        <x:v>必要</x:v>
      </x:c>
      <x:c r="N57" s="80" t="str">
        <x:v>ROLE_USER</x:v>
      </x:c>
      <x:c r="O57" s="80" t="str">
        <x:v>チャットルームへ</x:v>
      </x:c>
      <x:c r="P57" s="80" t="str">
        <x:v>入力エラーは元画面へ戻す。業務エラーはメッセージ表示</x:v>
      </x:c>
      <x:c r="Q57" s="80" t="str">
        <x:v>〇</x:v>
      </x:c>
      <x:c r="R57" s="80" t="str">
        <x:v>第1段階</x:v>
      </x:c>
      <x:c r="S57" s="81" t="str">
        <x:v>POSTはCSRF有効。更新処理はService層で権限・所有者を再確認</x:v>
      </x:c>
    </x:row>
    <x:row r="58" ht="42" customHeight="1">
      <x:c r="A58" s="88" t="n">
        <x:v>55</x:v>
      </x:c>
      <x:c r="B58" s="89" t="str">
        <x:v>RT-0055</x:v>
      </x:c>
      <x:c r="C58" s="89" t="str">
        <x:v>SC-US-021</x:v>
      </x:c>
      <x:c r="D58" s="89" t="str">
        <x:v>ユーザー</x:v>
      </x:c>
      <x:c r="E58" s="89" t="str">
        <x:v>評価</x:v>
      </x:c>
      <x:c r="F58" s="89" t="str">
        <x:v>評価対象一覧</x:v>
      </x:c>
      <x:c r="G58" s="89" t="str">
        <x:v>画面表示</x:v>
      </x:c>
      <x:c r="H58" s="89" t="str">
        <x:v>GET</x:v>
      </x:c>
      <x:c r="I58" s="89" t="str">
        <x:v>/mypage/reviews</x:v>
      </x:c>
      <x:c r="J58" s="89" t="str">
        <x:v>UserReviewController</x:v>
      </x:c>
      <x:c r="K58" s="89" t="str">
        <x:v>show_sc_us_021</x:v>
      </x:c>
      <x:c r="L58" s="89" t="str">
        <x:v>mypage/reviews</x:v>
      </x:c>
      <x:c r="M58" s="89" t="str">
        <x:v>必要</x:v>
      </x:c>
      <x:c r="N58" s="89" t="str">
        <x:v>ROLE_USER</x:v>
      </x:c>
      <x:c r="O58" s="89" t="str">
        <x:v>同画面を表示</x:v>
      </x:c>
      <x:c r="P58" s="89" t="str">
        <x:v>権限エラーは /error/access、データなしは404画面</x:v>
      </x:c>
      <x:c r="Q58" s="89" t="str">
        <x:v>〇</x:v>
      </x:c>
      <x:c r="R58" s="89" t="str">
        <x:v>第1段階</x:v>
      </x:c>
      <x:c r="S58" s="90" t="str">
        <x:v>画面一覧のURL案を基に作成</x:v>
      </x:c>
    </x:row>
    <x:row r="59" ht="42" customHeight="1">
      <x:c r="A59" s="79" t="n">
        <x:v>56</x:v>
      </x:c>
      <x:c r="B59" s="80" t="str">
        <x:v>RT-0056</x:v>
      </x:c>
      <x:c r="C59" s="80" t="str">
        <x:v>SC-US-022</x:v>
      </x:c>
      <x:c r="D59" s="80" t="str">
        <x:v>ユーザー</x:v>
      </x:c>
      <x:c r="E59" s="80" t="str">
        <x:v>評価</x:v>
      </x:c>
      <x:c r="F59" s="80" t="str">
        <x:v>企業評価入力</x:v>
      </x:c>
      <x:c r="G59" s="80" t="str">
        <x:v>画面表示</x:v>
      </x:c>
      <x:c r="H59" s="80" t="str">
        <x:v>GET</x:v>
      </x:c>
      <x:c r="I59" s="80" t="str">
        <x:v>/mypage/reviews/companies/{targetId}/edit</x:v>
      </x:c>
      <x:c r="J59" s="80" t="str">
        <x:v>UserReviewController</x:v>
      </x:c>
      <x:c r="K59" s="80" t="str">
        <x:v>show_sc_us_022</x:v>
      </x:c>
      <x:c r="L59" s="80" t="str">
        <x:v>mypage/reviews/companies/form</x:v>
      </x:c>
      <x:c r="M59" s="80" t="str">
        <x:v>必要</x:v>
      </x:c>
      <x:c r="N59" s="80" t="str">
        <x:v>ROLE_USER</x:v>
      </x:c>
      <x:c r="O59" s="80" t="str">
        <x:v>同画面を表示</x:v>
      </x:c>
      <x:c r="P59" s="80" t="str">
        <x:v>権限エラーは /error/access、データなしは404画面</x:v>
      </x:c>
      <x:c r="Q59" s="80" t="str">
        <x:v>〇</x:v>
      </x:c>
      <x:c r="R59" s="80" t="str">
        <x:v>第1段階</x:v>
      </x:c>
      <x:c r="S59" s="81" t="str">
        <x:v>画面一覧のURL案を基に作成</x:v>
      </x:c>
    </x:row>
    <x:row r="60" ht="42" customHeight="1">
      <x:c r="A60" s="88" t="n">
        <x:v>57</x:v>
      </x:c>
      <x:c r="B60" s="89" t="str">
        <x:v>RT-0057</x:v>
      </x:c>
      <x:c r="C60" s="89" t="str">
        <x:v>SC-US-022</x:v>
      </x:c>
      <x:c r="D60" s="89" t="str">
        <x:v>ユーザー</x:v>
      </x:c>
      <x:c r="E60" s="89" t="str">
        <x:v>評価</x:v>
      </x:c>
      <x:c r="F60" s="89" t="str">
        <x:v>企業評価入力</x:v>
      </x:c>
      <x:c r="G60" s="89" t="str">
        <x:v>確認</x:v>
      </x:c>
      <x:c r="H60" s="89" t="str">
        <x:v>POST</x:v>
      </x:c>
      <x:c r="I60" s="89" t="str">
        <x:v>/mypage/reviews/companies/{targetId}/confirm</x:v>
      </x:c>
      <x:c r="J60" s="89" t="str">
        <x:v>UserReviewController</x:v>
      </x:c>
      <x:c r="K60" s="89" t="str">
        <x:v>confirm_sc_us_022</x:v>
      </x:c>
      <x:c r="L60" s="89" t="str">
        <x:v>redirect またはファイルレスポンス</x:v>
      </x:c>
      <x:c r="M60" s="89" t="str">
        <x:v>必要</x:v>
      </x:c>
      <x:c r="N60" s="89" t="str">
        <x:v>ROLE_USER</x:v>
      </x:c>
      <x:c r="O60" s="89" t="str">
        <x:v>企業評価確認へ</x:v>
      </x:c>
      <x:c r="P60" s="89" t="str">
        <x:v>入力エラーは元画面へ戻す。業務エラーはメッセージ表示</x:v>
      </x:c>
      <x:c r="Q60" s="89" t="str">
        <x:v>〇</x:v>
      </x:c>
      <x:c r="R60" s="89" t="str">
        <x:v>第1段階</x:v>
      </x:c>
      <x:c r="S60" s="90" t="str">
        <x:v>POSTはCSRF有効。更新処理はService層で権限・所有者を再確認</x:v>
      </x:c>
    </x:row>
    <x:row r="61" ht="42" customHeight="1">
      <x:c r="A61" s="79" t="n">
        <x:v>58</x:v>
      </x:c>
      <x:c r="B61" s="80" t="str">
        <x:v>RT-0058</x:v>
      </x:c>
      <x:c r="C61" s="80" t="str">
        <x:v>SC-US-023</x:v>
      </x:c>
      <x:c r="D61" s="80" t="str">
        <x:v>ユーザー</x:v>
      </x:c>
      <x:c r="E61" s="80" t="str">
        <x:v>評価</x:v>
      </x:c>
      <x:c r="F61" s="80" t="str">
        <x:v>企業評価確認</x:v>
      </x:c>
      <x:c r="G61" s="80" t="str">
        <x:v>画面表示</x:v>
      </x:c>
      <x:c r="H61" s="80" t="str">
        <x:v>GET</x:v>
      </x:c>
      <x:c r="I61" s="80" t="str">
        <x:v>/mypage/reviews/companies/{targetId}/confirm</x:v>
      </x:c>
      <x:c r="J61" s="80" t="str">
        <x:v>UserReviewController</x:v>
      </x:c>
      <x:c r="K61" s="80" t="str">
        <x:v>show_sc_us_023</x:v>
      </x:c>
      <x:c r="L61" s="80" t="str">
        <x:v>mypage/reviews/companies/confirm</x:v>
      </x:c>
      <x:c r="M61" s="80" t="str">
        <x:v>必要</x:v>
      </x:c>
      <x:c r="N61" s="80" t="str">
        <x:v>ROLE_USER</x:v>
      </x:c>
      <x:c r="O61" s="80" t="str">
        <x:v>同画面を表示</x:v>
      </x:c>
      <x:c r="P61" s="80" t="str">
        <x:v>権限エラーは /error/access、データなしは404画面</x:v>
      </x:c>
      <x:c r="Q61" s="80" t="str">
        <x:v>〇</x:v>
      </x:c>
      <x:c r="R61" s="80" t="str">
        <x:v>第1段階</x:v>
      </x:c>
      <x:c r="S61" s="81" t="str">
        <x:v>画面一覧のURL案を基に作成</x:v>
      </x:c>
    </x:row>
    <x:row r="62" ht="42" customHeight="1">
      <x:c r="A62" s="88" t="n">
        <x:v>59</x:v>
      </x:c>
      <x:c r="B62" s="89" t="str">
        <x:v>RT-0059</x:v>
      </x:c>
      <x:c r="C62" s="89" t="str">
        <x:v>SC-US-023</x:v>
      </x:c>
      <x:c r="D62" s="89" t="str">
        <x:v>ユーザー</x:v>
      </x:c>
      <x:c r="E62" s="89" t="str">
        <x:v>評価</x:v>
      </x:c>
      <x:c r="F62" s="89" t="str">
        <x:v>企業評価確認</x:v>
      </x:c>
      <x:c r="G62" s="89" t="str">
        <x:v>登録</x:v>
      </x:c>
      <x:c r="H62" s="89" t="str">
        <x:v>POST</x:v>
      </x:c>
      <x:c r="I62" s="89" t="str">
        <x:v>/mypage/reviews/companies/{targetId}/complete</x:v>
      </x:c>
      <x:c r="J62" s="89" t="str">
        <x:v>UserReviewController</x:v>
      </x:c>
      <x:c r="K62" s="89" t="str">
        <x:v>submit_sc_us_023</x:v>
      </x:c>
      <x:c r="L62" s="89" t="str">
        <x:v>redirect またはファイルレスポンス</x:v>
      </x:c>
      <x:c r="M62" s="89" t="str">
        <x:v>必要</x:v>
      </x:c>
      <x:c r="N62" s="89" t="str">
        <x:v>ROLE_USER</x:v>
      </x:c>
      <x:c r="O62" s="89" t="str">
        <x:v>企業評価完了へ</x:v>
      </x:c>
      <x:c r="P62" s="89" t="str">
        <x:v>入力エラーは元画面へ戻す。業務エラーはメッセージ表示</x:v>
      </x:c>
      <x:c r="Q62" s="89" t="str">
        <x:v>〇</x:v>
      </x:c>
      <x:c r="R62" s="89" t="str">
        <x:v>第1段階</x:v>
      </x:c>
      <x:c r="S62" s="90" t="str">
        <x:v>POSTはCSRF有効。更新処理はService層で権限・所有者を再確認</x:v>
      </x:c>
    </x:row>
    <x:row r="63" ht="42" customHeight="1">
      <x:c r="A63" s="79" t="n">
        <x:v>60</x:v>
      </x:c>
      <x:c r="B63" s="80" t="str">
        <x:v>RT-0060</x:v>
      </x:c>
      <x:c r="C63" s="80" t="str">
        <x:v>SC-US-024</x:v>
      </x:c>
      <x:c r="D63" s="80" t="str">
        <x:v>ユーザー</x:v>
      </x:c>
      <x:c r="E63" s="80" t="str">
        <x:v>評価</x:v>
      </x:c>
      <x:c r="F63" s="80" t="str">
        <x:v>企業評価完了</x:v>
      </x:c>
      <x:c r="G63" s="80" t="str">
        <x:v>画面表示</x:v>
      </x:c>
      <x:c r="H63" s="80" t="str">
        <x:v>GET</x:v>
      </x:c>
      <x:c r="I63" s="80" t="str">
        <x:v>/mypage/reviews/companies/{targetId}/complete</x:v>
      </x:c>
      <x:c r="J63" s="80" t="str">
        <x:v>UserReviewController</x:v>
      </x:c>
      <x:c r="K63" s="80" t="str">
        <x:v>show_sc_us_024</x:v>
      </x:c>
      <x:c r="L63" s="80" t="str">
        <x:v>mypage/reviews/companies/complete</x:v>
      </x:c>
      <x:c r="M63" s="80" t="str">
        <x:v>必要</x:v>
      </x:c>
      <x:c r="N63" s="80" t="str">
        <x:v>ROLE_USER</x:v>
      </x:c>
      <x:c r="O63" s="80" t="str">
        <x:v>同画面を表示</x:v>
      </x:c>
      <x:c r="P63" s="80" t="str">
        <x:v>権限エラーは /error/access、データなしは404画面</x:v>
      </x:c>
      <x:c r="Q63" s="80" t="str">
        <x:v>〇</x:v>
      </x:c>
      <x:c r="R63" s="80" t="str">
        <x:v>第1段階</x:v>
      </x:c>
      <x:c r="S63" s="81" t="str">
        <x:v>画面一覧のURL案を基に作成</x:v>
      </x:c>
    </x:row>
    <x:row r="64" ht="42" customHeight="1">
      <x:c r="A64" s="88" t="n">
        <x:v>61</x:v>
      </x:c>
      <x:c r="B64" s="89" t="str">
        <x:v>RT-0061</x:v>
      </x:c>
      <x:c r="C64" s="89" t="str">
        <x:v>SC-US-025</x:v>
      </x:c>
      <x:c r="D64" s="89" t="str">
        <x:v>ユーザー</x:v>
      </x:c>
      <x:c r="E64" s="89" t="str">
        <x:v>評価</x:v>
      </x:c>
      <x:c r="F64" s="89" t="str">
        <x:v>自分への評価一覧</x:v>
      </x:c>
      <x:c r="G64" s="89" t="str">
        <x:v>画面表示</x:v>
      </x:c>
      <x:c r="H64" s="89" t="str">
        <x:v>GET</x:v>
      </x:c>
      <x:c r="I64" s="89" t="str">
        <x:v>/mypage/reviews/received</x:v>
      </x:c>
      <x:c r="J64" s="89" t="str">
        <x:v>UserReviewController</x:v>
      </x:c>
      <x:c r="K64" s="89" t="str">
        <x:v>show_sc_us_025</x:v>
      </x:c>
      <x:c r="L64" s="89" t="str">
        <x:v>mypage/reviews/received</x:v>
      </x:c>
      <x:c r="M64" s="89" t="str">
        <x:v>必要</x:v>
      </x:c>
      <x:c r="N64" s="89" t="str">
        <x:v>ROLE_USER</x:v>
      </x:c>
      <x:c r="O64" s="89" t="str">
        <x:v>同画面を表示</x:v>
      </x:c>
      <x:c r="P64" s="89" t="str">
        <x:v>権限エラーは /error/access、データなしは404画面</x:v>
      </x:c>
      <x:c r="Q64" s="89" t="str">
        <x:v>〇</x:v>
      </x:c>
      <x:c r="R64" s="89" t="str">
        <x:v>第1段階</x:v>
      </x:c>
      <x:c r="S64" s="90" t="str">
        <x:v>画面一覧のURL案を基に作成</x:v>
      </x:c>
    </x:row>
    <x:row r="65" ht="42" customHeight="1">
      <x:c r="A65" s="79" t="n">
        <x:v>62</x:v>
      </x:c>
      <x:c r="B65" s="80" t="str">
        <x:v>RT-0062</x:v>
      </x:c>
      <x:c r="C65" s="80" t="str">
        <x:v>SC-US-026</x:v>
      </x:c>
      <x:c r="D65" s="80" t="str">
        <x:v>ユーザー</x:v>
      </x:c>
      <x:c r="E65" s="80" t="str">
        <x:v>評価</x:v>
      </x:c>
      <x:c r="F65" s="80" t="str">
        <x:v>評価異議申立て・通報</x:v>
      </x:c>
      <x:c r="G65" s="80" t="str">
        <x:v>画面表示</x:v>
      </x:c>
      <x:c r="H65" s="80" t="str">
        <x:v>GET</x:v>
      </x:c>
      <x:c r="I65" s="80" t="str">
        <x:v>/mypage/reviews/{reviewId}/appeal</x:v>
      </x:c>
      <x:c r="J65" s="80" t="str">
        <x:v>UserReviewController</x:v>
      </x:c>
      <x:c r="K65" s="80" t="str">
        <x:v>show_sc_us_026</x:v>
      </x:c>
      <x:c r="L65" s="80" t="str">
        <x:v>mypage/reviews/appeal</x:v>
      </x:c>
      <x:c r="M65" s="80" t="str">
        <x:v>必要</x:v>
      </x:c>
      <x:c r="N65" s="80" t="str">
        <x:v>ROLE_USER</x:v>
      </x:c>
      <x:c r="O65" s="80" t="str">
        <x:v>同画面を表示</x:v>
      </x:c>
      <x:c r="P65" s="80" t="str">
        <x:v>権限エラーは /error/access、データなしは404画面</x:v>
      </x:c>
      <x:c r="Q65" s="80" t="str">
        <x:v>△</x:v>
      </x:c>
      <x:c r="R65" s="80" t="str">
        <x:v>第2段階</x:v>
      </x:c>
      <x:c r="S65" s="81" t="str">
        <x:v>画面一覧のURL案を基に作成</x:v>
      </x:c>
    </x:row>
    <x:row r="66" ht="42" customHeight="1">
      <x:c r="A66" s="88" t="n">
        <x:v>63</x:v>
      </x:c>
      <x:c r="B66" s="89" t="str">
        <x:v>RT-0063</x:v>
      </x:c>
      <x:c r="C66" s="89" t="str">
        <x:v>SC-US-026</x:v>
      </x:c>
      <x:c r="D66" s="89" t="str">
        <x:v>ユーザー</x:v>
      </x:c>
      <x:c r="E66" s="89" t="str">
        <x:v>評価</x:v>
      </x:c>
      <x:c r="F66" s="89" t="str">
        <x:v>評価異議申立て・通報</x:v>
      </x:c>
      <x:c r="G66" s="89" t="str">
        <x:v>申立て</x:v>
      </x:c>
      <x:c r="H66" s="89" t="str">
        <x:v>POST</x:v>
      </x:c>
      <x:c r="I66" s="89" t="str">
        <x:v>/mypage/reviews/{reviewId}/appeal</x:v>
      </x:c>
      <x:c r="J66" s="89" t="str">
        <x:v>UserReviewController</x:v>
      </x:c>
      <x:c r="K66" s="89" t="str">
        <x:v>appeal_sc_us_026</x:v>
      </x:c>
      <x:c r="L66" s="89" t="str">
        <x:v>redirect またはファイルレスポンス</x:v>
      </x:c>
      <x:c r="M66" s="89" t="str">
        <x:v>必要</x:v>
      </x:c>
      <x:c r="N66" s="89" t="str">
        <x:v>ROLE_USER</x:v>
      </x:c>
      <x:c r="O66" s="89" t="str">
        <x:v>評価詳細へ</x:v>
      </x:c>
      <x:c r="P66" s="89" t="str">
        <x:v>入力エラーは元画面へ戻す。業務エラーはメッセージ表示</x:v>
      </x:c>
      <x:c r="Q66" s="89" t="str">
        <x:v>△</x:v>
      </x:c>
      <x:c r="R66" s="89" t="str">
        <x:v>第2段階</x:v>
      </x:c>
      <x:c r="S66" s="90" t="str">
        <x:v>POSTはCSRF有効。更新処理はService層で権限・所有者を再確認</x:v>
      </x:c>
    </x:row>
    <x:row r="67" ht="42" customHeight="1">
      <x:c r="A67" s="79" t="n">
        <x:v>64</x:v>
      </x:c>
      <x:c r="B67" s="80" t="str">
        <x:v>RT-0064</x:v>
      </x:c>
      <x:c r="C67" s="80" t="str">
        <x:v>SC-US-027</x:v>
      </x:c>
      <x:c r="D67" s="80" t="str">
        <x:v>ユーザー</x:v>
      </x:c>
      <x:c r="E67" s="80" t="str">
        <x:v>通知</x:v>
      </x:c>
      <x:c r="F67" s="80" t="str">
        <x:v>通知一覧</x:v>
      </x:c>
      <x:c r="G67" s="80" t="str">
        <x:v>画面表示</x:v>
      </x:c>
      <x:c r="H67" s="80" t="str">
        <x:v>GET</x:v>
      </x:c>
      <x:c r="I67" s="80" t="str">
        <x:v>/mypage/notifications</x:v>
      </x:c>
      <x:c r="J67" s="80" t="str">
        <x:v>UserNotificationController</x:v>
      </x:c>
      <x:c r="K67" s="80" t="str">
        <x:v>show_sc_us_027</x:v>
      </x:c>
      <x:c r="L67" s="80" t="str">
        <x:v>mypage/notifications</x:v>
      </x:c>
      <x:c r="M67" s="80" t="str">
        <x:v>必要</x:v>
      </x:c>
      <x:c r="N67" s="80" t="str">
        <x:v>ROLE_USER</x:v>
      </x:c>
      <x:c r="O67" s="80" t="str">
        <x:v>同画面を表示</x:v>
      </x:c>
      <x:c r="P67" s="80" t="str">
        <x:v>権限エラーは /error/access、データなしは404画面</x:v>
      </x:c>
      <x:c r="Q67" s="80" t="str">
        <x:v>〇</x:v>
      </x:c>
      <x:c r="R67" s="80" t="str">
        <x:v>第1段階</x:v>
      </x:c>
      <x:c r="S67" s="81" t="str">
        <x:v>画面一覧のURL案を基に作成</x:v>
      </x:c>
    </x:row>
    <x:row r="68" ht="42" customHeight="1">
      <x:c r="A68" s="88" t="n">
        <x:v>65</x:v>
      </x:c>
      <x:c r="B68" s="89" t="str">
        <x:v>RT-0065</x:v>
      </x:c>
      <x:c r="C68" s="89" t="str">
        <x:v>SC-US-028</x:v>
      </x:c>
      <x:c r="D68" s="89" t="str">
        <x:v>ユーザー</x:v>
      </x:c>
      <x:c r="E68" s="89" t="str">
        <x:v>アカウント</x:v>
      </x:c>
      <x:c r="F68" s="89" t="str">
        <x:v>アカウント設定</x:v>
      </x:c>
      <x:c r="G68" s="89" t="str">
        <x:v>画面表示</x:v>
      </x:c>
      <x:c r="H68" s="89" t="str">
        <x:v>GET</x:v>
      </x:c>
      <x:c r="I68" s="89" t="str">
        <x:v>/mypage/settings</x:v>
      </x:c>
      <x:c r="J68" s="89" t="str">
        <x:v>UserSettingsController</x:v>
      </x:c>
      <x:c r="K68" s="89" t="str">
        <x:v>show_sc_us_028</x:v>
      </x:c>
      <x:c r="L68" s="89" t="str">
        <x:v>mypage/settings</x:v>
      </x:c>
      <x:c r="M68" s="89" t="str">
        <x:v>必要</x:v>
      </x:c>
      <x:c r="N68" s="89" t="str">
        <x:v>ROLE_USER</x:v>
      </x:c>
      <x:c r="O68" s="89" t="str">
        <x:v>同画面を表示</x:v>
      </x:c>
      <x:c r="P68" s="89" t="str">
        <x:v>権限エラーは /error/access、データなしは404画面</x:v>
      </x:c>
      <x:c r="Q68" s="89" t="str">
        <x:v>〇</x:v>
      </x:c>
      <x:c r="R68" s="89" t="str">
        <x:v>第1段階</x:v>
      </x:c>
      <x:c r="S68" s="90" t="str">
        <x:v>画面一覧のURL案を基に作成</x:v>
      </x:c>
    </x:row>
    <x:row r="69" ht="42" customHeight="1">
      <x:c r="A69" s="79" t="n">
        <x:v>66</x:v>
      </x:c>
      <x:c r="B69" s="80" t="str">
        <x:v>RT-0066</x:v>
      </x:c>
      <x:c r="C69" s="80" t="str">
        <x:v>SC-US-028</x:v>
      </x:c>
      <x:c r="D69" s="80" t="str">
        <x:v>ユーザー</x:v>
      </x:c>
      <x:c r="E69" s="80" t="str">
        <x:v>アカウント</x:v>
      </x:c>
      <x:c r="F69" s="80" t="str">
        <x:v>アカウント設定</x:v>
      </x:c>
      <x:c r="G69" s="80" t="str">
        <x:v>更新</x:v>
      </x:c>
      <x:c r="H69" s="80" t="str">
        <x:v>POST</x:v>
      </x:c>
      <x:c r="I69" s="80" t="str">
        <x:v>/mypage/settings</x:v>
      </x:c>
      <x:c r="J69" s="80" t="str">
        <x:v>UserSettingsController</x:v>
      </x:c>
      <x:c r="K69" s="80" t="str">
        <x:v>update_sc_us_028</x:v>
      </x:c>
      <x:c r="L69" s="80" t="str">
        <x:v>redirect またはファイルレスポンス</x:v>
      </x:c>
      <x:c r="M69" s="80" t="str">
        <x:v>必要</x:v>
      </x:c>
      <x:c r="N69" s="80" t="str">
        <x:v>ROLE_USER</x:v>
      </x:c>
      <x:c r="O69" s="80" t="str">
        <x:v>同画面へ</x:v>
      </x:c>
      <x:c r="P69" s="80" t="str">
        <x:v>入力エラーは元画面へ戻す。業務エラーはメッセージ表示</x:v>
      </x:c>
      <x:c r="Q69" s="80" t="str">
        <x:v>〇</x:v>
      </x:c>
      <x:c r="R69" s="80" t="str">
        <x:v>第1段階</x:v>
      </x:c>
      <x:c r="S69" s="81" t="str">
        <x:v>POSTはCSRF有効。更新処理はService層で権限・所有者を再確認</x:v>
      </x:c>
    </x:row>
    <x:row r="70" ht="42" customHeight="1">
      <x:c r="A70" s="88" t="n">
        <x:v>67</x:v>
      </x:c>
      <x:c r="B70" s="89" t="str">
        <x:v>RT-0067</x:v>
      </x:c>
      <x:c r="C70" s="89" t="str">
        <x:v>SC-US-029</x:v>
      </x:c>
      <x:c r="D70" s="89" t="str">
        <x:v>ユーザー</x:v>
      </x:c>
      <x:c r="E70" s="89" t="str">
        <x:v>アカウント</x:v>
      </x:c>
      <x:c r="F70" s="89" t="str">
        <x:v>退会確認</x:v>
      </x:c>
      <x:c r="G70" s="89" t="str">
        <x:v>画面表示</x:v>
      </x:c>
      <x:c r="H70" s="89" t="str">
        <x:v>GET</x:v>
      </x:c>
      <x:c r="I70" s="89" t="str">
        <x:v>/mypage/settings/withdrawal</x:v>
      </x:c>
      <x:c r="J70" s="89" t="str">
        <x:v>UserSettingsController</x:v>
      </x:c>
      <x:c r="K70" s="89" t="str">
        <x:v>show_sc_us_029</x:v>
      </x:c>
      <x:c r="L70" s="89" t="str">
        <x:v>mypage/settings/withdrawal</x:v>
      </x:c>
      <x:c r="M70" s="89" t="str">
        <x:v>必要</x:v>
      </x:c>
      <x:c r="N70" s="89" t="str">
        <x:v>ROLE_USER</x:v>
      </x:c>
      <x:c r="O70" s="89" t="str">
        <x:v>同画面を表示</x:v>
      </x:c>
      <x:c r="P70" s="89" t="str">
        <x:v>権限エラーは /error/access、データなしは404画面</x:v>
      </x:c>
      <x:c r="Q70" s="89" t="str">
        <x:v>〇</x:v>
      </x:c>
      <x:c r="R70" s="89" t="str">
        <x:v>第1段階</x:v>
      </x:c>
      <x:c r="S70" s="90" t="str">
        <x:v>画面一覧のURL案を基に作成</x:v>
      </x:c>
    </x:row>
    <x:row r="71" ht="42" customHeight="1">
      <x:c r="A71" s="79" t="n">
        <x:v>68</x:v>
      </x:c>
      <x:c r="B71" s="80" t="str">
        <x:v>RT-0068</x:v>
      </x:c>
      <x:c r="C71" s="80" t="str">
        <x:v>SC-US-029</x:v>
      </x:c>
      <x:c r="D71" s="80" t="str">
        <x:v>ユーザー</x:v>
      </x:c>
      <x:c r="E71" s="80" t="str">
        <x:v>アカウント</x:v>
      </x:c>
      <x:c r="F71" s="80" t="str">
        <x:v>退会確認</x:v>
      </x:c>
      <x:c r="G71" s="80" t="str">
        <x:v>退会</x:v>
      </x:c>
      <x:c r="H71" s="80" t="str">
        <x:v>POST</x:v>
      </x:c>
      <x:c r="I71" s="80" t="str">
        <x:v>/mypage/settings/withdrawal</x:v>
      </x:c>
      <x:c r="J71" s="80" t="str">
        <x:v>UserSettingsController</x:v>
      </x:c>
      <x:c r="K71" s="80" t="str">
        <x:v>withdraw_sc_us_029</x:v>
      </x:c>
      <x:c r="L71" s="80" t="str">
        <x:v>redirect またはファイルレスポンス</x:v>
      </x:c>
      <x:c r="M71" s="80" t="str">
        <x:v>必要</x:v>
      </x:c>
      <x:c r="N71" s="80" t="str">
        <x:v>ROLE_USER</x:v>
      </x:c>
      <x:c r="O71" s="80" t="str">
        <x:v>トップページへ</x:v>
      </x:c>
      <x:c r="P71" s="80" t="str">
        <x:v>入力エラーは元画面へ戻す。業務エラーはメッセージ表示</x:v>
      </x:c>
      <x:c r="Q71" s="80" t="str">
        <x:v>〇</x:v>
      </x:c>
      <x:c r="R71" s="80" t="str">
        <x:v>第1段階</x:v>
      </x:c>
      <x:c r="S71" s="81" t="str">
        <x:v>POSTはCSRF有効。更新処理はService層で権限・所有者を再確認</x:v>
      </x:c>
    </x:row>
    <x:row r="72" ht="42" customHeight="1">
      <x:c r="A72" s="88" t="n">
        <x:v>69</x:v>
      </x:c>
      <x:c r="B72" s="89" t="str">
        <x:v>RT-0069</x:v>
      </x:c>
      <x:c r="C72" s="89" t="str">
        <x:v>SC-US-030</x:v>
      </x:c>
      <x:c r="D72" s="89" t="str">
        <x:v>従業員</x:v>
      </x:c>
      <x:c r="E72" s="89" t="str">
        <x:v>勤怠</x:v>
      </x:c>
      <x:c r="F72" s="89" t="str">
        <x:v>打刻ホーム</x:v>
      </x:c>
      <x:c r="G72" s="89" t="str">
        <x:v>画面表示</x:v>
      </x:c>
      <x:c r="H72" s="89" t="str">
        <x:v>GET</x:v>
      </x:c>
      <x:c r="I72" s="89" t="str">
        <x:v>/mypage/attendance</x:v>
      </x:c>
      <x:c r="J72" s="89" t="str">
        <x:v>EmployeeAttendanceController</x:v>
      </x:c>
      <x:c r="K72" s="89" t="str">
        <x:v>show_sc_us_030</x:v>
      </x:c>
      <x:c r="L72" s="89" t="str">
        <x:v>mypage/attendance</x:v>
      </x:c>
      <x:c r="M72" s="89" t="str">
        <x:v>必要</x:v>
      </x:c>
      <x:c r="N72" s="89" t="str">
        <x:v>ROLE_EMPLOYEE</x:v>
      </x:c>
      <x:c r="O72" s="89" t="str">
        <x:v>同画面を表示</x:v>
      </x:c>
      <x:c r="P72" s="89" t="str">
        <x:v>権限エラーは /error/access、データなしは404画面</x:v>
      </x:c>
      <x:c r="Q72" s="89" t="str">
        <x:v>×</x:v>
      </x:c>
      <x:c r="R72" s="89" t="str">
        <x:v>第4段階</x:v>
      </x:c>
      <x:c r="S72" s="90" t="str">
        <x:v>画面一覧のURL案を基に作成</x:v>
      </x:c>
    </x:row>
    <x:row r="73" ht="42" customHeight="1">
      <x:c r="A73" s="79" t="n">
        <x:v>70</x:v>
      </x:c>
      <x:c r="B73" s="80" t="str">
        <x:v>RT-0070</x:v>
      </x:c>
      <x:c r="C73" s="80" t="str">
        <x:v>SC-US-031</x:v>
      </x:c>
      <x:c r="D73" s="80" t="str">
        <x:v>従業員</x:v>
      </x:c>
      <x:c r="E73" s="80" t="str">
        <x:v>勤怠</x:v>
      </x:c>
      <x:c r="F73" s="80" t="str">
        <x:v>自分の勤怠履歴</x:v>
      </x:c>
      <x:c r="G73" s="80" t="str">
        <x:v>画面表示</x:v>
      </x:c>
      <x:c r="H73" s="80" t="str">
        <x:v>GET</x:v>
      </x:c>
      <x:c r="I73" s="80" t="str">
        <x:v>/mypage/attendance/history</x:v>
      </x:c>
      <x:c r="J73" s="80" t="str">
        <x:v>EmployeeAttendanceController</x:v>
      </x:c>
      <x:c r="K73" s="80" t="str">
        <x:v>show_sc_us_031</x:v>
      </x:c>
      <x:c r="L73" s="80" t="str">
        <x:v>mypage/attendance/history</x:v>
      </x:c>
      <x:c r="M73" s="80" t="str">
        <x:v>必要</x:v>
      </x:c>
      <x:c r="N73" s="80" t="str">
        <x:v>ROLE_EMPLOYEE</x:v>
      </x:c>
      <x:c r="O73" s="80" t="str">
        <x:v>同画面を表示</x:v>
      </x:c>
      <x:c r="P73" s="80" t="str">
        <x:v>権限エラーは /error/access、データなしは404画面</x:v>
      </x:c>
      <x:c r="Q73" s="80" t="str">
        <x:v>×</x:v>
      </x:c>
      <x:c r="R73" s="80" t="str">
        <x:v>第4段階</x:v>
      </x:c>
      <x:c r="S73" s="81" t="str">
        <x:v>画面一覧のURL案を基に作成</x:v>
      </x:c>
    </x:row>
    <x:row r="74" ht="42" customHeight="1">
      <x:c r="A74" s="88" t="n">
        <x:v>71</x:v>
      </x:c>
      <x:c r="B74" s="89" t="str">
        <x:v>RT-0071</x:v>
      </x:c>
      <x:c r="C74" s="89" t="str">
        <x:v>SC-US-032</x:v>
      </x:c>
      <x:c r="D74" s="89" t="str">
        <x:v>従業員</x:v>
      </x:c>
      <x:c r="E74" s="89" t="str">
        <x:v>勤怠</x:v>
      </x:c>
      <x:c r="F74" s="89" t="str">
        <x:v>自分のシフト</x:v>
      </x:c>
      <x:c r="G74" s="89" t="str">
        <x:v>画面表示</x:v>
      </x:c>
      <x:c r="H74" s="89" t="str">
        <x:v>GET</x:v>
      </x:c>
      <x:c r="I74" s="89" t="str">
        <x:v>/mypage/shifts</x:v>
      </x:c>
      <x:c r="J74" s="89" t="str">
        <x:v>EmployeeShiftController</x:v>
      </x:c>
      <x:c r="K74" s="89" t="str">
        <x:v>show_sc_us_032</x:v>
      </x:c>
      <x:c r="L74" s="89" t="str">
        <x:v>mypage/shifts</x:v>
      </x:c>
      <x:c r="M74" s="89" t="str">
        <x:v>必要</x:v>
      </x:c>
      <x:c r="N74" s="89" t="str">
        <x:v>ROLE_EMPLOYEE</x:v>
      </x:c>
      <x:c r="O74" s="89" t="str">
        <x:v>同画面を表示</x:v>
      </x:c>
      <x:c r="P74" s="89" t="str">
        <x:v>権限エラーは /error/access、データなしは404画面</x:v>
      </x:c>
      <x:c r="Q74" s="89" t="str">
        <x:v>×</x:v>
      </x:c>
      <x:c r="R74" s="89" t="str">
        <x:v>第4段階</x:v>
      </x:c>
      <x:c r="S74" s="90" t="str">
        <x:v>画面一覧のURL案を基に作成</x:v>
      </x:c>
    </x:row>
    <x:row r="75" ht="42" customHeight="1">
      <x:c r="A75" s="79" t="n">
        <x:v>72</x:v>
      </x:c>
      <x:c r="B75" s="80" t="str">
        <x:v>RT-0072</x:v>
      </x:c>
      <x:c r="C75" s="80" t="str">
        <x:v>SC-US-033</x:v>
      </x:c>
      <x:c r="D75" s="80" t="str">
        <x:v>従業員</x:v>
      </x:c>
      <x:c r="E75" s="80" t="str">
        <x:v>勤怠</x:v>
      </x:c>
      <x:c r="F75" s="80" t="str">
        <x:v>休暇申請</x:v>
      </x:c>
      <x:c r="G75" s="80" t="str">
        <x:v>画面表示</x:v>
      </x:c>
      <x:c r="H75" s="80" t="str">
        <x:v>GET</x:v>
      </x:c>
      <x:c r="I75" s="80" t="str">
        <x:v>/mypage/leave-requests/new</x:v>
      </x:c>
      <x:c r="J75" s="80" t="str">
        <x:v>EmployeeLeaveRequestController</x:v>
      </x:c>
      <x:c r="K75" s="80" t="str">
        <x:v>show_sc_us_033</x:v>
      </x:c>
      <x:c r="L75" s="80" t="str">
        <x:v>mypage/leave-requests/form</x:v>
      </x:c>
      <x:c r="M75" s="80" t="str">
        <x:v>必要</x:v>
      </x:c>
      <x:c r="N75" s="80" t="str">
        <x:v>ROLE_EMPLOYEE</x:v>
      </x:c>
      <x:c r="O75" s="80" t="str">
        <x:v>同画面を表示</x:v>
      </x:c>
      <x:c r="P75" s="80" t="str">
        <x:v>権限エラーは /error/access、データなしは404画面</x:v>
      </x:c>
      <x:c r="Q75" s="80" t="str">
        <x:v>×</x:v>
      </x:c>
      <x:c r="R75" s="80" t="str">
        <x:v>第4段階</x:v>
      </x:c>
      <x:c r="S75" s="81" t="str">
        <x:v>画面一覧のURL案を基に作成</x:v>
      </x:c>
    </x:row>
    <x:row r="76" ht="42" customHeight="1">
      <x:c r="A76" s="88" t="n">
        <x:v>73</x:v>
      </x:c>
      <x:c r="B76" s="89" t="str">
        <x:v>RT-0073</x:v>
      </x:c>
      <x:c r="C76" s="89" t="str">
        <x:v>SC-US-033</x:v>
      </x:c>
      <x:c r="D76" s="89" t="str">
        <x:v>従業員</x:v>
      </x:c>
      <x:c r="E76" s="89" t="str">
        <x:v>勤怠</x:v>
      </x:c>
      <x:c r="F76" s="89" t="str">
        <x:v>休暇申請</x:v>
      </x:c>
      <x:c r="G76" s="89" t="str">
        <x:v>申請</x:v>
      </x:c>
      <x:c r="H76" s="89" t="str">
        <x:v>POST</x:v>
      </x:c>
      <x:c r="I76" s="89" t="str">
        <x:v>/mypage/leave-requests</x:v>
      </x:c>
      <x:c r="J76" s="89" t="str">
        <x:v>EmployeeLeaveRequestController</x:v>
      </x:c>
      <x:c r="K76" s="89" t="str">
        <x:v>create_sc_us_033</x:v>
      </x:c>
      <x:c r="L76" s="89" t="str">
        <x:v>redirect またはファイルレスポンス</x:v>
      </x:c>
      <x:c r="M76" s="89" t="str">
        <x:v>必要</x:v>
      </x:c>
      <x:c r="N76" s="89" t="str">
        <x:v>ROLE_EMPLOYEE</x:v>
      </x:c>
      <x:c r="O76" s="89" t="str">
        <x:v>申請一覧へ</x:v>
      </x:c>
      <x:c r="P76" s="89" t="str">
        <x:v>入力エラーは元画面へ戻す。業務エラーはメッセージ表示</x:v>
      </x:c>
      <x:c r="Q76" s="89" t="str">
        <x:v>×</x:v>
      </x:c>
      <x:c r="R76" s="89" t="str">
        <x:v>第4段階</x:v>
      </x:c>
      <x:c r="S76" s="90" t="str">
        <x:v>POSTはCSRF有効。更新処理はService層で権限・所有者を再確認</x:v>
      </x:c>
    </x:row>
    <x:row r="77" ht="42" customHeight="1">
      <x:c r="A77" s="79" t="n">
        <x:v>74</x:v>
      </x:c>
      <x:c r="B77" s="80" t="str">
        <x:v>RT-0074</x:v>
      </x:c>
      <x:c r="C77" s="80" t="str">
        <x:v>SC-US-034</x:v>
      </x:c>
      <x:c r="D77" s="80" t="str">
        <x:v>従業員</x:v>
      </x:c>
      <x:c r="E77" s="80" t="str">
        <x:v>勤怠</x:v>
      </x:c>
      <x:c r="F77" s="80" t="str">
        <x:v>勤怠修正申請</x:v>
      </x:c>
      <x:c r="G77" s="80" t="str">
        <x:v>画面表示</x:v>
      </x:c>
      <x:c r="H77" s="80" t="str">
        <x:v>GET</x:v>
      </x:c>
      <x:c r="I77" s="80" t="str">
        <x:v>/mypage/attendance/corrections/new</x:v>
      </x:c>
      <x:c r="J77" s="80" t="str">
        <x:v>EmployeeAttendanceController</x:v>
      </x:c>
      <x:c r="K77" s="80" t="str">
        <x:v>show_sc_us_034</x:v>
      </x:c>
      <x:c r="L77" s="80" t="str">
        <x:v>mypage/attendance/corrections/form</x:v>
      </x:c>
      <x:c r="M77" s="80" t="str">
        <x:v>必要</x:v>
      </x:c>
      <x:c r="N77" s="80" t="str">
        <x:v>ROLE_EMPLOYEE</x:v>
      </x:c>
      <x:c r="O77" s="80" t="str">
        <x:v>同画面を表示</x:v>
      </x:c>
      <x:c r="P77" s="80" t="str">
        <x:v>権限エラーは /error/access、データなしは404画面</x:v>
      </x:c>
      <x:c r="Q77" s="80" t="str">
        <x:v>×</x:v>
      </x:c>
      <x:c r="R77" s="80" t="str">
        <x:v>第4段階</x:v>
      </x:c>
      <x:c r="S77" s="81" t="str">
        <x:v>画面一覧のURL案を基に作成</x:v>
      </x:c>
    </x:row>
    <x:row r="78" ht="42" customHeight="1">
      <x:c r="A78" s="88" t="n">
        <x:v>75</x:v>
      </x:c>
      <x:c r="B78" s="89" t="str">
        <x:v>RT-0075</x:v>
      </x:c>
      <x:c r="C78" s="89" t="str">
        <x:v>SC-US-034</x:v>
      </x:c>
      <x:c r="D78" s="89" t="str">
        <x:v>従業員</x:v>
      </x:c>
      <x:c r="E78" s="89" t="str">
        <x:v>勤怠</x:v>
      </x:c>
      <x:c r="F78" s="89" t="str">
        <x:v>勤怠修正申請</x:v>
      </x:c>
      <x:c r="G78" s="89" t="str">
        <x:v>申請</x:v>
      </x:c>
      <x:c r="H78" s="89" t="str">
        <x:v>POST</x:v>
      </x:c>
      <x:c r="I78" s="89" t="str">
        <x:v>/mypage/attendance/corrections</x:v>
      </x:c>
      <x:c r="J78" s="89" t="str">
        <x:v>EmployeeAttendanceController</x:v>
      </x:c>
      <x:c r="K78" s="89" t="str">
        <x:v>create_sc_us_034</x:v>
      </x:c>
      <x:c r="L78" s="89" t="str">
        <x:v>redirect またはファイルレスポンス</x:v>
      </x:c>
      <x:c r="M78" s="89" t="str">
        <x:v>必要</x:v>
      </x:c>
      <x:c r="N78" s="89" t="str">
        <x:v>ROLE_EMPLOYEE</x:v>
      </x:c>
      <x:c r="O78" s="89" t="str">
        <x:v>勤怠履歴へ</x:v>
      </x:c>
      <x:c r="P78" s="89" t="str">
        <x:v>入力エラーは元画面へ戻す。業務エラーはメッセージ表示</x:v>
      </x:c>
      <x:c r="Q78" s="89" t="str">
        <x:v>×</x:v>
      </x:c>
      <x:c r="R78" s="89" t="str">
        <x:v>第4段階</x:v>
      </x:c>
      <x:c r="S78" s="90" t="str">
        <x:v>POSTはCSRF有効。更新処理はService層で権限・所有者を再確認</x:v>
      </x:c>
    </x:row>
    <x:row r="79" ht="42" customHeight="1">
      <x:c r="A79" s="79" t="n">
        <x:v>76</x:v>
      </x:c>
      <x:c r="B79" s="80" t="str">
        <x:v>RT-0076</x:v>
      </x:c>
      <x:c r="C79" s="80" t="str">
        <x:v>SC-CO-001</x:v>
      </x:c>
      <x:c r="D79" s="80" t="str">
        <x:v>企業</x:v>
      </x:c>
      <x:c r="E79" s="80" t="str">
        <x:v>ダッシュボード</x:v>
      </x:c>
      <x:c r="F79" s="80" t="str">
        <x:v>企業管理ダッシュボード</x:v>
      </x:c>
      <x:c r="G79" s="80" t="str">
        <x:v>画面表示</x:v>
      </x:c>
      <x:c r="H79" s="80" t="str">
        <x:v>GET</x:v>
      </x:c>
      <x:c r="I79" s="80" t="str">
        <x:v>/company</x:v>
      </x:c>
      <x:c r="J79" s="80" t="str">
        <x:v>CompanyDashboardController</x:v>
      </x:c>
      <x:c r="K79" s="80" t="str">
        <x:v>show_sc_co_001</x:v>
      </x:c>
      <x:c r="L79" s="80" t="str">
        <x:v>company/dashboard</x:v>
      </x:c>
      <x:c r="M79" s="80" t="str">
        <x:v>必要</x:v>
      </x:c>
      <x:c r="N79" s="80" t="str">
        <x:v>ROLE_COMPANY_MEMBER</x:v>
      </x:c>
      <x:c r="O79" s="80" t="str">
        <x:v>同画面を表示</x:v>
      </x:c>
      <x:c r="P79" s="80" t="str">
        <x:v>権限エラーは /error/access、データなしは404画面</x:v>
      </x:c>
      <x:c r="Q79" s="80" t="str">
        <x:v>〇</x:v>
      </x:c>
      <x:c r="R79" s="80" t="str">
        <x:v>第1段階</x:v>
      </x:c>
      <x:c r="S79" s="81" t="str">
        <x:v>画面一覧のURL案を基に作成</x:v>
      </x:c>
    </x:row>
    <x:row r="80" ht="42" customHeight="1">
      <x:c r="A80" s="88" t="n">
        <x:v>77</x:v>
      </x:c>
      <x:c r="B80" s="89" t="str">
        <x:v>RT-0077</x:v>
      </x:c>
      <x:c r="C80" s="89" t="str">
        <x:v>SC-CO-002</x:v>
      </x:c>
      <x:c r="D80" s="89" t="str">
        <x:v>企業</x:v>
      </x:c>
      <x:c r="E80" s="89" t="str">
        <x:v>企業情報</x:v>
      </x:c>
      <x:c r="F80" s="89" t="str">
        <x:v>企業プロフィール編集</x:v>
      </x:c>
      <x:c r="G80" s="89" t="str">
        <x:v>画面表示</x:v>
      </x:c>
      <x:c r="H80" s="89" t="str">
        <x:v>GET</x:v>
      </x:c>
      <x:c r="I80" s="89" t="str">
        <x:v>/company/profile</x:v>
      </x:c>
      <x:c r="J80" s="89" t="str">
        <x:v>CompanyProfileController</x:v>
      </x:c>
      <x:c r="K80" s="89" t="str">
        <x:v>show_sc_co_002</x:v>
      </x:c>
      <x:c r="L80" s="89" t="str">
        <x:v>company/profile</x:v>
      </x:c>
      <x:c r="M80" s="89" t="str">
        <x:v>必要</x:v>
      </x:c>
      <x:c r="N80" s="89" t="str">
        <x:v>ROLE_COMPANY_MEMBER</x:v>
      </x:c>
      <x:c r="O80" s="89" t="str">
        <x:v>同画面を表示</x:v>
      </x:c>
      <x:c r="P80" s="89" t="str">
        <x:v>権限エラーは /error/access、データなしは404画面</x:v>
      </x:c>
      <x:c r="Q80" s="89" t="str">
        <x:v>〇</x:v>
      </x:c>
      <x:c r="R80" s="89" t="str">
        <x:v>第1段階</x:v>
      </x:c>
      <x:c r="S80" s="90" t="str">
        <x:v>画面一覧のURL案を基に作成</x:v>
      </x:c>
    </x:row>
    <x:row r="81" ht="42" customHeight="1">
      <x:c r="A81" s="79" t="n">
        <x:v>78</x:v>
      </x:c>
      <x:c r="B81" s="80" t="str">
        <x:v>RT-0078</x:v>
      </x:c>
      <x:c r="C81" s="80" t="str">
        <x:v>SC-CO-002</x:v>
      </x:c>
      <x:c r="D81" s="80" t="str">
        <x:v>企業</x:v>
      </x:c>
      <x:c r="E81" s="80" t="str">
        <x:v>企業情報</x:v>
      </x:c>
      <x:c r="F81" s="80" t="str">
        <x:v>企業プロフィール編集</x:v>
      </x:c>
      <x:c r="G81" s="80" t="str">
        <x:v>更新</x:v>
      </x:c>
      <x:c r="H81" s="80" t="str">
        <x:v>POST</x:v>
      </x:c>
      <x:c r="I81" s="80" t="str">
        <x:v>/company/profile</x:v>
      </x:c>
      <x:c r="J81" s="80" t="str">
        <x:v>CompanyProfileController</x:v>
      </x:c>
      <x:c r="K81" s="80" t="str">
        <x:v>update_sc_co_002</x:v>
      </x:c>
      <x:c r="L81" s="80" t="str">
        <x:v>redirect またはファイルレスポンス</x:v>
      </x:c>
      <x:c r="M81" s="80" t="str">
        <x:v>必要</x:v>
      </x:c>
      <x:c r="N81" s="80" t="str">
        <x:v>ROLE_COMPANY_MEMBER</x:v>
      </x:c>
      <x:c r="O81" s="80" t="str">
        <x:v>企業プロフィールへ</x:v>
      </x:c>
      <x:c r="P81" s="80" t="str">
        <x:v>入力エラーは元画面へ戻す。業務エラーはメッセージ表示</x:v>
      </x:c>
      <x:c r="Q81" s="80" t="str">
        <x:v>〇</x:v>
      </x:c>
      <x:c r="R81" s="80" t="str">
        <x:v>第1段階</x:v>
      </x:c>
      <x:c r="S81" s="81" t="str">
        <x:v>POSTはCSRF有効。更新処理はService層で権限・所有者を再確認</x:v>
      </x:c>
    </x:row>
    <x:row r="82" ht="42" customHeight="1">
      <x:c r="A82" s="88" t="n">
        <x:v>79</x:v>
      </x:c>
      <x:c r="B82" s="89" t="str">
        <x:v>RT-0079</x:v>
      </x:c>
      <x:c r="C82" s="89" t="str">
        <x:v>SC-CO-003</x:v>
      </x:c>
      <x:c r="D82" s="89" t="str">
        <x:v>企業</x:v>
      </x:c>
      <x:c r="E82" s="89" t="str">
        <x:v>企業情報</x:v>
      </x:c>
      <x:c r="F82" s="89" t="str">
        <x:v>企業審査申請</x:v>
      </x:c>
      <x:c r="G82" s="89" t="str">
        <x:v>画面表示</x:v>
      </x:c>
      <x:c r="H82" s="89" t="str">
        <x:v>GET</x:v>
      </x:c>
      <x:c r="I82" s="89" t="str">
        <x:v>/company/verification/apply</x:v>
      </x:c>
      <x:c r="J82" s="89" t="str">
        <x:v>CompanyVerificationController</x:v>
      </x:c>
      <x:c r="K82" s="89" t="str">
        <x:v>show_sc_co_003</x:v>
      </x:c>
      <x:c r="L82" s="89" t="str">
        <x:v>company/verification/apply</x:v>
      </x:c>
      <x:c r="M82" s="89" t="str">
        <x:v>必要</x:v>
      </x:c>
      <x:c r="N82" s="89" t="str">
        <x:v>ROLE_COMPANY_MEMBER</x:v>
      </x:c>
      <x:c r="O82" s="89" t="str">
        <x:v>同画面を表示</x:v>
      </x:c>
      <x:c r="P82" s="89" t="str">
        <x:v>権限エラーは /error/access、データなしは404画面</x:v>
      </x:c>
      <x:c r="Q82" s="89" t="str">
        <x:v>〇</x:v>
      </x:c>
      <x:c r="R82" s="89" t="str">
        <x:v>第1段階</x:v>
      </x:c>
      <x:c r="S82" s="90" t="str">
        <x:v>画面一覧のURL案を基に作成</x:v>
      </x:c>
    </x:row>
    <x:row r="83" ht="42" customHeight="1">
      <x:c r="A83" s="79" t="n">
        <x:v>80</x:v>
      </x:c>
      <x:c r="B83" s="80" t="str">
        <x:v>RT-0080</x:v>
      </x:c>
      <x:c r="C83" s="80" t="str">
        <x:v>SC-CO-003</x:v>
      </x:c>
      <x:c r="D83" s="80" t="str">
        <x:v>企業</x:v>
      </x:c>
      <x:c r="E83" s="80" t="str">
        <x:v>企業情報</x:v>
      </x:c>
      <x:c r="F83" s="80" t="str">
        <x:v>企業審査申請</x:v>
      </x:c>
      <x:c r="G83" s="80" t="str">
        <x:v>申請</x:v>
      </x:c>
      <x:c r="H83" s="80" t="str">
        <x:v>POST</x:v>
      </x:c>
      <x:c r="I83" s="80" t="str">
        <x:v>/company/verification/apply</x:v>
      </x:c>
      <x:c r="J83" s="80" t="str">
        <x:v>CompanyVerificationController</x:v>
      </x:c>
      <x:c r="K83" s="80" t="str">
        <x:v>apply_sc_co_003</x:v>
      </x:c>
      <x:c r="L83" s="80" t="str">
        <x:v>redirect またはファイルレスポンス</x:v>
      </x:c>
      <x:c r="M83" s="80" t="str">
        <x:v>必要</x:v>
      </x:c>
      <x:c r="N83" s="80" t="str">
        <x:v>ROLE_COMPANY_MEMBER</x:v>
      </x:c>
      <x:c r="O83" s="80" t="str">
        <x:v>企業審査状況へ</x:v>
      </x:c>
      <x:c r="P83" s="80" t="str">
        <x:v>入力エラーは元画面へ戻す。業務エラーはメッセージ表示</x:v>
      </x:c>
      <x:c r="Q83" s="80" t="str">
        <x:v>〇</x:v>
      </x:c>
      <x:c r="R83" s="80" t="str">
        <x:v>第1段階</x:v>
      </x:c>
      <x:c r="S83" s="81" t="str">
        <x:v>POSTはCSRF有効。更新処理はService層で権限・所有者を再確認</x:v>
      </x:c>
    </x:row>
    <x:row r="84" ht="42" customHeight="1">
      <x:c r="A84" s="88" t="n">
        <x:v>81</x:v>
      </x:c>
      <x:c r="B84" s="89" t="str">
        <x:v>RT-0081</x:v>
      </x:c>
      <x:c r="C84" s="89" t="str">
        <x:v>SC-CO-004</x:v>
      </x:c>
      <x:c r="D84" s="89" t="str">
        <x:v>企業</x:v>
      </x:c>
      <x:c r="E84" s="89" t="str">
        <x:v>企業情報</x:v>
      </x:c>
      <x:c r="F84" s="89" t="str">
        <x:v>企業審査状況</x:v>
      </x:c>
      <x:c r="G84" s="89" t="str">
        <x:v>画面表示</x:v>
      </x:c>
      <x:c r="H84" s="89" t="str">
        <x:v>GET</x:v>
      </x:c>
      <x:c r="I84" s="89" t="str">
        <x:v>/company/verification</x:v>
      </x:c>
      <x:c r="J84" s="89" t="str">
        <x:v>CompanyVerificationController</x:v>
      </x:c>
      <x:c r="K84" s="89" t="str">
        <x:v>show_sc_co_004</x:v>
      </x:c>
      <x:c r="L84" s="89" t="str">
        <x:v>company/verification</x:v>
      </x:c>
      <x:c r="M84" s="89" t="str">
        <x:v>必要</x:v>
      </x:c>
      <x:c r="N84" s="89" t="str">
        <x:v>ROLE_COMPANY_MEMBER</x:v>
      </x:c>
      <x:c r="O84" s="89" t="str">
        <x:v>同画面を表示</x:v>
      </x:c>
      <x:c r="P84" s="89" t="str">
        <x:v>権限エラーは /error/access、データなしは404画面</x:v>
      </x:c>
      <x:c r="Q84" s="89" t="str">
        <x:v>〇</x:v>
      </x:c>
      <x:c r="R84" s="89" t="str">
        <x:v>第1段階</x:v>
      </x:c>
      <x:c r="S84" s="90" t="str">
        <x:v>画面一覧のURL案を基に作成</x:v>
      </x:c>
    </x:row>
    <x:row r="85" ht="42" customHeight="1">
      <x:c r="A85" s="79" t="n">
        <x:v>82</x:v>
      </x:c>
      <x:c r="B85" s="80" t="str">
        <x:v>RT-0082</x:v>
      </x:c>
      <x:c r="C85" s="80" t="str">
        <x:v>SC-CO-005</x:v>
      </x:c>
      <x:c r="D85" s="80" t="str">
        <x:v>企業</x:v>
      </x:c>
      <x:c r="E85" s="80" t="str">
        <x:v>担当者管理</x:v>
      </x:c>
      <x:c r="F85" s="80" t="str">
        <x:v>企業担当者一覧</x:v>
      </x:c>
      <x:c r="G85" s="80" t="str">
        <x:v>画面表示</x:v>
      </x:c>
      <x:c r="H85" s="80" t="str">
        <x:v>GET</x:v>
      </x:c>
      <x:c r="I85" s="80" t="str">
        <x:v>/company/members</x:v>
      </x:c>
      <x:c r="J85" s="80" t="str">
        <x:v>CompanyMemberController</x:v>
      </x:c>
      <x:c r="K85" s="80" t="str">
        <x:v>show_sc_co_005</x:v>
      </x:c>
      <x:c r="L85" s="80" t="str">
        <x:v>company/members</x:v>
      </x:c>
      <x:c r="M85" s="80" t="str">
        <x:v>必要</x:v>
      </x:c>
      <x:c r="N85" s="80" t="str">
        <x:v>ROLE_COMPANY_MEMBER</x:v>
      </x:c>
      <x:c r="O85" s="80" t="str">
        <x:v>同画面を表示</x:v>
      </x:c>
      <x:c r="P85" s="80" t="str">
        <x:v>権限エラーは /error/access、データなしは404画面</x:v>
      </x:c>
      <x:c r="Q85" s="80" t="str">
        <x:v>△</x:v>
      </x:c>
      <x:c r="R85" s="80" t="str">
        <x:v>第2段階</x:v>
      </x:c>
      <x:c r="S85" s="81" t="str">
        <x:v>画面一覧のURL案を基に作成</x:v>
      </x:c>
    </x:row>
    <x:row r="86" ht="42" customHeight="1">
      <x:c r="A86" s="88" t="n">
        <x:v>83</x:v>
      </x:c>
      <x:c r="B86" s="89" t="str">
        <x:v>RT-0083</x:v>
      </x:c>
      <x:c r="C86" s="89" t="str">
        <x:v>SC-CO-006</x:v>
      </x:c>
      <x:c r="D86" s="89" t="str">
        <x:v>企業</x:v>
      </x:c>
      <x:c r="E86" s="89" t="str">
        <x:v>担当者管理</x:v>
      </x:c>
      <x:c r="F86" s="89" t="str">
        <x:v>企業担当者招待</x:v>
      </x:c>
      <x:c r="G86" s="89" t="str">
        <x:v>画面表示</x:v>
      </x:c>
      <x:c r="H86" s="89" t="str">
        <x:v>GET</x:v>
      </x:c>
      <x:c r="I86" s="89" t="str">
        <x:v>/company/members/invite</x:v>
      </x:c>
      <x:c r="J86" s="89" t="str">
        <x:v>CompanyMemberController</x:v>
      </x:c>
      <x:c r="K86" s="89" t="str">
        <x:v>show_sc_co_006</x:v>
      </x:c>
      <x:c r="L86" s="89" t="str">
        <x:v>company/members/invite</x:v>
      </x:c>
      <x:c r="M86" s="89" t="str">
        <x:v>必要</x:v>
      </x:c>
      <x:c r="N86" s="89" t="str">
        <x:v>ROLE_COMPANY_MEMBER</x:v>
      </x:c>
      <x:c r="O86" s="89" t="str">
        <x:v>同画面を表示</x:v>
      </x:c>
      <x:c r="P86" s="89" t="str">
        <x:v>権限エラーは /error/access、データなしは404画面</x:v>
      </x:c>
      <x:c r="Q86" s="89" t="str">
        <x:v>△</x:v>
      </x:c>
      <x:c r="R86" s="89" t="str">
        <x:v>第2段階</x:v>
      </x:c>
      <x:c r="S86" s="90" t="str">
        <x:v>画面一覧のURL案を基に作成</x:v>
      </x:c>
    </x:row>
    <x:row r="87" ht="42" customHeight="1">
      <x:c r="A87" s="79" t="n">
        <x:v>84</x:v>
      </x:c>
      <x:c r="B87" s="80" t="str">
        <x:v>RT-0084</x:v>
      </x:c>
      <x:c r="C87" s="80" t="str">
        <x:v>SC-CO-006</x:v>
      </x:c>
      <x:c r="D87" s="80" t="str">
        <x:v>企業</x:v>
      </x:c>
      <x:c r="E87" s="80" t="str">
        <x:v>担当者管理</x:v>
      </x:c>
      <x:c r="F87" s="80" t="str">
        <x:v>企業担当者招待</x:v>
      </x:c>
      <x:c r="G87" s="80" t="str">
        <x:v>招待</x:v>
      </x:c>
      <x:c r="H87" s="80" t="str">
        <x:v>POST</x:v>
      </x:c>
      <x:c r="I87" s="80" t="str">
        <x:v>/company/members/invite</x:v>
      </x:c>
      <x:c r="J87" s="80" t="str">
        <x:v>CompanyMemberController</x:v>
      </x:c>
      <x:c r="K87" s="80" t="str">
        <x:v>invite_sc_co_006</x:v>
      </x:c>
      <x:c r="L87" s="80" t="str">
        <x:v>redirect またはファイルレスポンス</x:v>
      </x:c>
      <x:c r="M87" s="80" t="str">
        <x:v>必要</x:v>
      </x:c>
      <x:c r="N87" s="80" t="str">
        <x:v>ROLE_COMPANY_MEMBER</x:v>
      </x:c>
      <x:c r="O87" s="80" t="str">
        <x:v>企業担当者一覧へ</x:v>
      </x:c>
      <x:c r="P87" s="80" t="str">
        <x:v>入力エラーは元画面へ戻す。業務エラーはメッセージ表示</x:v>
      </x:c>
      <x:c r="Q87" s="80" t="str">
        <x:v>△</x:v>
      </x:c>
      <x:c r="R87" s="80" t="str">
        <x:v>第2段階</x:v>
      </x:c>
      <x:c r="S87" s="81" t="str">
        <x:v>POSTはCSRF有効。更新処理はService層で権限・所有者を再確認</x:v>
      </x:c>
    </x:row>
    <x:row r="88" ht="42" customHeight="1">
      <x:c r="A88" s="88" t="n">
        <x:v>85</x:v>
      </x:c>
      <x:c r="B88" s="89" t="str">
        <x:v>RT-0085</x:v>
      </x:c>
      <x:c r="C88" s="89" t="str">
        <x:v>SC-CO-007</x:v>
      </x:c>
      <x:c r="D88" s="89" t="str">
        <x:v>企業</x:v>
      </x:c>
      <x:c r="E88" s="89" t="str">
        <x:v>権限管理</x:v>
      </x:c>
      <x:c r="F88" s="89" t="str">
        <x:v>ロール・権限設定</x:v>
      </x:c>
      <x:c r="G88" s="89" t="str">
        <x:v>画面表示</x:v>
      </x:c>
      <x:c r="H88" s="89" t="str">
        <x:v>GET</x:v>
      </x:c>
      <x:c r="I88" s="89" t="str">
        <x:v>/company/roles</x:v>
      </x:c>
      <x:c r="J88" s="89" t="str">
        <x:v>CompanyRoleController</x:v>
      </x:c>
      <x:c r="K88" s="89" t="str">
        <x:v>show_sc_co_007</x:v>
      </x:c>
      <x:c r="L88" s="89" t="str">
        <x:v>company/roles</x:v>
      </x:c>
      <x:c r="M88" s="89" t="str">
        <x:v>必要</x:v>
      </x:c>
      <x:c r="N88" s="89" t="str">
        <x:v>ROLE_COMPANY_MEMBER</x:v>
      </x:c>
      <x:c r="O88" s="89" t="str">
        <x:v>同画面を表示</x:v>
      </x:c>
      <x:c r="P88" s="89" t="str">
        <x:v>権限エラーは /error/access、データなしは404画面</x:v>
      </x:c>
      <x:c r="Q88" s="89" t="str">
        <x:v>×</x:v>
      </x:c>
      <x:c r="R88" s="89" t="str">
        <x:v>第3段階</x:v>
      </x:c>
      <x:c r="S88" s="90" t="str">
        <x:v>画面一覧のURL案を基に作成</x:v>
      </x:c>
    </x:row>
    <x:row r="89" ht="42" customHeight="1">
      <x:c r="A89" s="79" t="n">
        <x:v>86</x:v>
      </x:c>
      <x:c r="B89" s="80" t="str">
        <x:v>RT-0086</x:v>
      </x:c>
      <x:c r="C89" s="80" t="str">
        <x:v>SC-CO-007</x:v>
      </x:c>
      <x:c r="D89" s="80" t="str">
        <x:v>企業</x:v>
      </x:c>
      <x:c r="E89" s="80" t="str">
        <x:v>権限管理</x:v>
      </x:c>
      <x:c r="F89" s="80" t="str">
        <x:v>ロール・権限設定</x:v>
      </x:c>
      <x:c r="G89" s="80" t="str">
        <x:v>更新</x:v>
      </x:c>
      <x:c r="H89" s="80" t="str">
        <x:v>POST</x:v>
      </x:c>
      <x:c r="I89" s="80" t="str">
        <x:v>/company/roles</x:v>
      </x:c>
      <x:c r="J89" s="80" t="str">
        <x:v>CompanyRoleController</x:v>
      </x:c>
      <x:c r="K89" s="80" t="str">
        <x:v>update_sc_co_007</x:v>
      </x:c>
      <x:c r="L89" s="80" t="str">
        <x:v>redirect またはファイルレスポンス</x:v>
      </x:c>
      <x:c r="M89" s="80" t="str">
        <x:v>必要</x:v>
      </x:c>
      <x:c r="N89" s="80" t="str">
        <x:v>ROLE_COMPANY_MEMBER</x:v>
      </x:c>
      <x:c r="O89" s="80" t="str">
        <x:v>同画面へ</x:v>
      </x:c>
      <x:c r="P89" s="80" t="str">
        <x:v>入力エラーは元画面へ戻す。業務エラーはメッセージ表示</x:v>
      </x:c>
      <x:c r="Q89" s="80" t="str">
        <x:v>×</x:v>
      </x:c>
      <x:c r="R89" s="80" t="str">
        <x:v>第3段階</x:v>
      </x:c>
      <x:c r="S89" s="81" t="str">
        <x:v>POSTはCSRF有効。更新処理はService層で権限・所有者を再確認</x:v>
      </x:c>
    </x:row>
    <x:row r="90" ht="42" customHeight="1">
      <x:c r="A90" s="88" t="n">
        <x:v>87</x:v>
      </x:c>
      <x:c r="B90" s="89" t="str">
        <x:v>RT-0087</x:v>
      </x:c>
      <x:c r="C90" s="89" t="str">
        <x:v>SC-CO-008</x:v>
      </x:c>
      <x:c r="D90" s="89" t="str">
        <x:v>企業</x:v>
      </x:c>
      <x:c r="E90" s="89" t="str">
        <x:v>求人掲載</x:v>
      </x:c>
      <x:c r="F90" s="89" t="str">
        <x:v>求人一覧</x:v>
      </x:c>
      <x:c r="G90" s="89" t="str">
        <x:v>画面表示</x:v>
      </x:c>
      <x:c r="H90" s="89" t="str">
        <x:v>GET</x:v>
      </x:c>
      <x:c r="I90" s="89" t="str">
        <x:v>/company/jobs</x:v>
      </x:c>
      <x:c r="J90" s="89" t="str">
        <x:v>CompanyJobController</x:v>
      </x:c>
      <x:c r="K90" s="89" t="str">
        <x:v>show_sc_co_008</x:v>
      </x:c>
      <x:c r="L90" s="89" t="str">
        <x:v>company/jobs</x:v>
      </x:c>
      <x:c r="M90" s="89" t="str">
        <x:v>必要</x:v>
      </x:c>
      <x:c r="N90" s="89" t="str">
        <x:v>ROLE_COMPANY_MEMBER</x:v>
      </x:c>
      <x:c r="O90" s="89" t="str">
        <x:v>同画面を表示</x:v>
      </x:c>
      <x:c r="P90" s="89" t="str">
        <x:v>権限エラーは /error/access、データなしは404画面</x:v>
      </x:c>
      <x:c r="Q90" s="89" t="str">
        <x:v>〇</x:v>
      </x:c>
      <x:c r="R90" s="89" t="str">
        <x:v>第1段階</x:v>
      </x:c>
      <x:c r="S90" s="90" t="str">
        <x:v>画面一覧のURL案を基に作成</x:v>
      </x:c>
    </x:row>
    <x:row r="91" ht="42" customHeight="1">
      <x:c r="A91" s="79" t="n">
        <x:v>88</x:v>
      </x:c>
      <x:c r="B91" s="80" t="str">
        <x:v>RT-0088</x:v>
      </x:c>
      <x:c r="C91" s="80" t="str">
        <x:v>SC-CO-009</x:v>
      </x:c>
      <x:c r="D91" s="80" t="str">
        <x:v>企業</x:v>
      </x:c>
      <x:c r="E91" s="80" t="str">
        <x:v>求人掲載</x:v>
      </x:c>
      <x:c r="F91" s="80" t="str">
        <x:v>求人新規作成・編集</x:v>
      </x:c>
      <x:c r="G91" s="80" t="str">
        <x:v>画面表示</x:v>
      </x:c>
      <x:c r="H91" s="80" t="str">
        <x:v>GET</x:v>
      </x:c>
      <x:c r="I91" s="80" t="str">
        <x:v>/company/jobs/{jobId}/edit</x:v>
      </x:c>
      <x:c r="J91" s="80" t="str">
        <x:v>CompanyJobController</x:v>
      </x:c>
      <x:c r="K91" s="80" t="str">
        <x:v>show_sc_co_009</x:v>
      </x:c>
      <x:c r="L91" s="80" t="str">
        <x:v>company/jobs/form</x:v>
      </x:c>
      <x:c r="M91" s="80" t="str">
        <x:v>必要</x:v>
      </x:c>
      <x:c r="N91" s="80" t="str">
        <x:v>ROLE_COMPANY_MEMBER</x:v>
      </x:c>
      <x:c r="O91" s="80" t="str">
        <x:v>同画面を表示</x:v>
      </x:c>
      <x:c r="P91" s="80" t="str">
        <x:v>権限エラーは /error/access、データなしは404画面</x:v>
      </x:c>
      <x:c r="Q91" s="80" t="str">
        <x:v>〇</x:v>
      </x:c>
      <x:c r="R91" s="80" t="str">
        <x:v>第1段階</x:v>
      </x:c>
      <x:c r="S91" s="81" t="str">
        <x:v>画面一覧のURL案を基に作成</x:v>
      </x:c>
    </x:row>
    <x:row r="92" ht="42" customHeight="1">
      <x:c r="A92" s="88" t="n">
        <x:v>89</x:v>
      </x:c>
      <x:c r="B92" s="89" t="str">
        <x:v>RT-0089</x:v>
      </x:c>
      <x:c r="C92" s="89" t="str">
        <x:v>SC-CO-009</x:v>
      </x:c>
      <x:c r="D92" s="89" t="str">
        <x:v>企業</x:v>
      </x:c>
      <x:c r="E92" s="89" t="str">
        <x:v>求人掲載</x:v>
      </x:c>
      <x:c r="F92" s="89" t="str">
        <x:v>求人新規作成・編集</x:v>
      </x:c>
      <x:c r="G92" s="89" t="str">
        <x:v>登録・更新</x:v>
      </x:c>
      <x:c r="H92" s="89" t="str">
        <x:v>POST</x:v>
      </x:c>
      <x:c r="I92" s="89" t="str">
        <x:v>/company/jobs/{jobId}/edit</x:v>
      </x:c>
      <x:c r="J92" s="89" t="str">
        <x:v>CompanyJobController</x:v>
      </x:c>
      <x:c r="K92" s="89" t="str">
        <x:v>save_sc_co_009</x:v>
      </x:c>
      <x:c r="L92" s="89" t="str">
        <x:v>redirect またはファイルレスポンス</x:v>
      </x:c>
      <x:c r="M92" s="89" t="str">
        <x:v>必要</x:v>
      </x:c>
      <x:c r="N92" s="89" t="str">
        <x:v>ROLE_COMPANY_MEMBER</x:v>
      </x:c>
      <x:c r="O92" s="89" t="str">
        <x:v>求人プレビューへ</x:v>
      </x:c>
      <x:c r="P92" s="89" t="str">
        <x:v>入力エラーは元画面へ戻す。業務エラーはメッセージ表示</x:v>
      </x:c>
      <x:c r="Q92" s="89" t="str">
        <x:v>〇</x:v>
      </x:c>
      <x:c r="R92" s="89" t="str">
        <x:v>第1段階</x:v>
      </x:c>
      <x:c r="S92" s="90" t="str">
        <x:v>POSTはCSRF有効。更新処理はService層で権限・所有者を再確認</x:v>
      </x:c>
    </x:row>
    <x:row r="93" ht="42" customHeight="1">
      <x:c r="A93" s="79" t="n">
        <x:v>90</x:v>
      </x:c>
      <x:c r="B93" s="80" t="str">
        <x:v>RT-0090</x:v>
      </x:c>
      <x:c r="C93" s="80" t="str">
        <x:v>SC-CO-010</x:v>
      </x:c>
      <x:c r="D93" s="80" t="str">
        <x:v>企業</x:v>
      </x:c>
      <x:c r="E93" s="80" t="str">
        <x:v>求人掲載</x:v>
      </x:c>
      <x:c r="F93" s="80" t="str">
        <x:v>求人プレビュー</x:v>
      </x:c>
      <x:c r="G93" s="80" t="str">
        <x:v>画面表示</x:v>
      </x:c>
      <x:c r="H93" s="80" t="str">
        <x:v>GET</x:v>
      </x:c>
      <x:c r="I93" s="80" t="str">
        <x:v>/company/jobs/{jobId}/preview</x:v>
      </x:c>
      <x:c r="J93" s="80" t="str">
        <x:v>CompanyJobController</x:v>
      </x:c>
      <x:c r="K93" s="80" t="str">
        <x:v>show_sc_co_010</x:v>
      </x:c>
      <x:c r="L93" s="80" t="str">
        <x:v>company/jobs/preview</x:v>
      </x:c>
      <x:c r="M93" s="80" t="str">
        <x:v>必要</x:v>
      </x:c>
      <x:c r="N93" s="80" t="str">
        <x:v>ROLE_COMPANY_MEMBER</x:v>
      </x:c>
      <x:c r="O93" s="80" t="str">
        <x:v>同画面を表示</x:v>
      </x:c>
      <x:c r="P93" s="80" t="str">
        <x:v>権限エラーは /error/access、データなしは404画面</x:v>
      </x:c>
      <x:c r="Q93" s="80" t="str">
        <x:v>〇</x:v>
      </x:c>
      <x:c r="R93" s="80" t="str">
        <x:v>第1段階</x:v>
      </x:c>
      <x:c r="S93" s="81" t="str">
        <x:v>画面一覧のURL案を基に作成</x:v>
      </x:c>
    </x:row>
    <x:row r="94" ht="42" customHeight="1">
      <x:c r="A94" s="88" t="n">
        <x:v>91</x:v>
      </x:c>
      <x:c r="B94" s="89" t="str">
        <x:v>RT-0091</x:v>
      </x:c>
      <x:c r="C94" s="89" t="str">
        <x:v>SC-CO-011</x:v>
      </x:c>
      <x:c r="D94" s="89" t="str">
        <x:v>企業</x:v>
      </x:c>
      <x:c r="E94" s="89" t="str">
        <x:v>求人掲載</x:v>
      </x:c>
      <x:c r="F94" s="89" t="str">
        <x:v>求人公開確認・枠判定</x:v>
      </x:c>
      <x:c r="G94" s="89" t="str">
        <x:v>画面表示</x:v>
      </x:c>
      <x:c r="H94" s="89" t="str">
        <x:v>GET</x:v>
      </x:c>
      <x:c r="I94" s="89" t="str">
        <x:v>/company/jobs/{jobId}/publish</x:v>
      </x:c>
      <x:c r="J94" s="89" t="str">
        <x:v>CompanyJobController</x:v>
      </x:c>
      <x:c r="K94" s="89" t="str">
        <x:v>show_sc_co_011</x:v>
      </x:c>
      <x:c r="L94" s="89" t="str">
        <x:v>company/jobs/publish</x:v>
      </x:c>
      <x:c r="M94" s="89" t="str">
        <x:v>必要</x:v>
      </x:c>
      <x:c r="N94" s="89" t="str">
        <x:v>ROLE_COMPANY_MEMBER</x:v>
      </x:c>
      <x:c r="O94" s="89" t="str">
        <x:v>同画面を表示</x:v>
      </x:c>
      <x:c r="P94" s="89" t="str">
        <x:v>権限エラーは /error/access、データなしは404画面</x:v>
      </x:c>
      <x:c r="Q94" s="89" t="str">
        <x:v>〇</x:v>
      </x:c>
      <x:c r="R94" s="89" t="str">
        <x:v>第1段階</x:v>
      </x:c>
      <x:c r="S94" s="90" t="str">
        <x:v>画面一覧のURL案を基に作成</x:v>
      </x:c>
    </x:row>
    <x:row r="95" ht="42" customHeight="1">
      <x:c r="A95" s="79" t="n">
        <x:v>92</x:v>
      </x:c>
      <x:c r="B95" s="80" t="str">
        <x:v>RT-0092</x:v>
      </x:c>
      <x:c r="C95" s="80" t="str">
        <x:v>SC-CO-011</x:v>
      </x:c>
      <x:c r="D95" s="80" t="str">
        <x:v>企業</x:v>
      </x:c>
      <x:c r="E95" s="80" t="str">
        <x:v>求人掲載</x:v>
      </x:c>
      <x:c r="F95" s="80" t="str">
        <x:v>求人公開確認・枠判定</x:v>
      </x:c>
      <x:c r="G95" s="80" t="str">
        <x:v>公開</x:v>
      </x:c>
      <x:c r="H95" s="80" t="str">
        <x:v>POST</x:v>
      </x:c>
      <x:c r="I95" s="80" t="str">
        <x:v>/company/jobs/{jobId}/publish</x:v>
      </x:c>
      <x:c r="J95" s="80" t="str">
        <x:v>CompanyJobController</x:v>
      </x:c>
      <x:c r="K95" s="80" t="str">
        <x:v>publish_sc_co_011</x:v>
      </x:c>
      <x:c r="L95" s="80" t="str">
        <x:v>redirect またはファイルレスポンス</x:v>
      </x:c>
      <x:c r="M95" s="80" t="str">
        <x:v>必要</x:v>
      </x:c>
      <x:c r="N95" s="80" t="str">
        <x:v>ROLE_COMPANY_MEMBER</x:v>
      </x:c>
      <x:c r="O95" s="80" t="str">
        <x:v>求人一覧へ</x:v>
      </x:c>
      <x:c r="P95" s="80" t="str">
        <x:v>入力エラーは元画面へ戻す。業務エラーはメッセージ表示</x:v>
      </x:c>
      <x:c r="Q95" s="80" t="str">
        <x:v>〇</x:v>
      </x:c>
      <x:c r="R95" s="80" t="str">
        <x:v>第1段階</x:v>
      </x:c>
      <x:c r="S95" s="81" t="str">
        <x:v>POSTはCSRF有効。更新処理はService層で権限・所有者を再確認</x:v>
      </x:c>
    </x:row>
    <x:row r="96" ht="42" customHeight="1">
      <x:c r="A96" s="88" t="n">
        <x:v>93</x:v>
      </x:c>
      <x:c r="B96" s="89" t="str">
        <x:v>RT-0093</x:v>
      </x:c>
      <x:c r="C96" s="89" t="str">
        <x:v>SC-CO-012</x:v>
      </x:c>
      <x:c r="D96" s="89" t="str">
        <x:v>企業</x:v>
      </x:c>
      <x:c r="E96" s="89" t="str">
        <x:v>求人掲載</x:v>
      </x:c>
      <x:c r="F96" s="89" t="str">
        <x:v>求人公開予約</x:v>
      </x:c>
      <x:c r="G96" s="89" t="str">
        <x:v>画面表示</x:v>
      </x:c>
      <x:c r="H96" s="89" t="str">
        <x:v>GET</x:v>
      </x:c>
      <x:c r="I96" s="89" t="str">
        <x:v>/company/jobs/{jobId}/schedule</x:v>
      </x:c>
      <x:c r="J96" s="89" t="str">
        <x:v>CompanyJobController</x:v>
      </x:c>
      <x:c r="K96" s="89" t="str">
        <x:v>show_sc_co_012</x:v>
      </x:c>
      <x:c r="L96" s="89" t="str">
        <x:v>company/jobs/schedule</x:v>
      </x:c>
      <x:c r="M96" s="89" t="str">
        <x:v>必要</x:v>
      </x:c>
      <x:c r="N96" s="89" t="str">
        <x:v>ROLE_COMPANY_MEMBER</x:v>
      </x:c>
      <x:c r="O96" s="89" t="str">
        <x:v>同画面を表示</x:v>
      </x:c>
      <x:c r="P96" s="89" t="str">
        <x:v>権限エラーは /error/access、データなしは404画面</x:v>
      </x:c>
      <x:c r="Q96" s="89" t="str">
        <x:v>×</x:v>
      </x:c>
      <x:c r="R96" s="89" t="str">
        <x:v>第3段階</x:v>
      </x:c>
      <x:c r="S96" s="90" t="str">
        <x:v>画面一覧のURL案を基に作成</x:v>
      </x:c>
    </x:row>
    <x:row r="97" ht="42" customHeight="1">
      <x:c r="A97" s="79" t="n">
        <x:v>94</x:v>
      </x:c>
      <x:c r="B97" s="80" t="str">
        <x:v>RT-0094</x:v>
      </x:c>
      <x:c r="C97" s="80" t="str">
        <x:v>SC-CO-012</x:v>
      </x:c>
      <x:c r="D97" s="80" t="str">
        <x:v>企業</x:v>
      </x:c>
      <x:c r="E97" s="80" t="str">
        <x:v>求人掲載</x:v>
      </x:c>
      <x:c r="F97" s="80" t="str">
        <x:v>求人公開予約</x:v>
      </x:c>
      <x:c r="G97" s="80" t="str">
        <x:v>予約</x:v>
      </x:c>
      <x:c r="H97" s="80" t="str">
        <x:v>POST</x:v>
      </x:c>
      <x:c r="I97" s="80" t="str">
        <x:v>/company/jobs/{jobId}/schedule</x:v>
      </x:c>
      <x:c r="J97" s="80" t="str">
        <x:v>CompanyJobController</x:v>
      </x:c>
      <x:c r="K97" s="80" t="str">
        <x:v>schedule_sc_co_012</x:v>
      </x:c>
      <x:c r="L97" s="80" t="str">
        <x:v>redirect またはファイルレスポンス</x:v>
      </x:c>
      <x:c r="M97" s="80" t="str">
        <x:v>必要</x:v>
      </x:c>
      <x:c r="N97" s="80" t="str">
        <x:v>ROLE_COMPANY_MEMBER</x:v>
      </x:c>
      <x:c r="O97" s="80" t="str">
        <x:v>求人詳細へ</x:v>
      </x:c>
      <x:c r="P97" s="80" t="str">
        <x:v>入力エラーは元画面へ戻す。業務エラーはメッセージ表示</x:v>
      </x:c>
      <x:c r="Q97" s="80" t="str">
        <x:v>×</x:v>
      </x:c>
      <x:c r="R97" s="80" t="str">
        <x:v>第3段階</x:v>
      </x:c>
      <x:c r="S97" s="81" t="str">
        <x:v>POSTはCSRF有効。更新処理はService層で権限・所有者を再確認</x:v>
      </x:c>
    </x:row>
    <x:row r="98" ht="42" customHeight="1">
      <x:c r="A98" s="88" t="n">
        <x:v>95</x:v>
      </x:c>
      <x:c r="B98" s="89" t="str">
        <x:v>RT-0095</x:v>
      </x:c>
      <x:c r="C98" s="89" t="str">
        <x:v>SC-CO-013</x:v>
      </x:c>
      <x:c r="D98" s="89" t="str">
        <x:v>企業</x:v>
      </x:c>
      <x:c r="E98" s="89" t="str">
        <x:v>求人掲載</x:v>
      </x:c>
      <x:c r="F98" s="89" t="str">
        <x:v>求人分析</x:v>
      </x:c>
      <x:c r="G98" s="89" t="str">
        <x:v>画面表示</x:v>
      </x:c>
      <x:c r="H98" s="89" t="str">
        <x:v>GET</x:v>
      </x:c>
      <x:c r="I98" s="89" t="str">
        <x:v>/company/jobs/{jobId}/analytics</x:v>
      </x:c>
      <x:c r="J98" s="89" t="str">
        <x:v>CompanyJobController</x:v>
      </x:c>
      <x:c r="K98" s="89" t="str">
        <x:v>show_sc_co_013</x:v>
      </x:c>
      <x:c r="L98" s="89" t="str">
        <x:v>company/jobs/analytics</x:v>
      </x:c>
      <x:c r="M98" s="89" t="str">
        <x:v>必要</x:v>
      </x:c>
      <x:c r="N98" s="89" t="str">
        <x:v>ROLE_COMPANY_MEMBER</x:v>
      </x:c>
      <x:c r="O98" s="89" t="str">
        <x:v>同画面を表示</x:v>
      </x:c>
      <x:c r="P98" s="89" t="str">
        <x:v>権限エラーは /error/access、データなしは404画面</x:v>
      </x:c>
      <x:c r="Q98" s="89" t="str">
        <x:v>×</x:v>
      </x:c>
      <x:c r="R98" s="89" t="str">
        <x:v>第3段階</x:v>
      </x:c>
      <x:c r="S98" s="90" t="str">
        <x:v>画面一覧のURL案を基に作成</x:v>
      </x:c>
    </x:row>
    <x:row r="99" ht="42" customHeight="1">
      <x:c r="A99" s="79" t="n">
        <x:v>96</x:v>
      </x:c>
      <x:c r="B99" s="80" t="str">
        <x:v>RT-0096</x:v>
      </x:c>
      <x:c r="C99" s="80" t="str">
        <x:v>SC-CO-014</x:v>
      </x:c>
      <x:c r="D99" s="80" t="str">
        <x:v>企業</x:v>
      </x:c>
      <x:c r="E99" s="80" t="str">
        <x:v>応募・採用</x:v>
      </x:c>
      <x:c r="F99" s="80" t="str">
        <x:v>応募者一覧</x:v>
      </x:c>
      <x:c r="G99" s="80" t="str">
        <x:v>画面表示</x:v>
      </x:c>
      <x:c r="H99" s="80" t="str">
        <x:v>GET</x:v>
      </x:c>
      <x:c r="I99" s="80" t="str">
        <x:v>/company/applications</x:v>
      </x:c>
      <x:c r="J99" s="80" t="str">
        <x:v>CompanyApplicationController</x:v>
      </x:c>
      <x:c r="K99" s="80" t="str">
        <x:v>show_sc_co_014</x:v>
      </x:c>
      <x:c r="L99" s="80" t="str">
        <x:v>company/applications</x:v>
      </x:c>
      <x:c r="M99" s="80" t="str">
        <x:v>必要</x:v>
      </x:c>
      <x:c r="N99" s="80" t="str">
        <x:v>ROLE_COMPANY_MEMBER</x:v>
      </x:c>
      <x:c r="O99" s="80" t="str">
        <x:v>同画面を表示</x:v>
      </x:c>
      <x:c r="P99" s="80" t="str">
        <x:v>権限エラーは /error/access、データなしは404画面</x:v>
      </x:c>
      <x:c r="Q99" s="80" t="str">
        <x:v>〇</x:v>
      </x:c>
      <x:c r="R99" s="80" t="str">
        <x:v>第1段階</x:v>
      </x:c>
      <x:c r="S99" s="81" t="str">
        <x:v>画面一覧のURL案を基に作成</x:v>
      </x:c>
    </x:row>
    <x:row r="100" ht="42" customHeight="1">
      <x:c r="A100" s="88" t="n">
        <x:v>97</x:v>
      </x:c>
      <x:c r="B100" s="89" t="str">
        <x:v>RT-0097</x:v>
      </x:c>
      <x:c r="C100" s="89" t="str">
        <x:v>SC-CO-015</x:v>
      </x:c>
      <x:c r="D100" s="89" t="str">
        <x:v>企業</x:v>
      </x:c>
      <x:c r="E100" s="89" t="str">
        <x:v>応募・採用</x:v>
      </x:c>
      <x:c r="F100" s="89" t="str">
        <x:v>応募者詳細</x:v>
      </x:c>
      <x:c r="G100" s="89" t="str">
        <x:v>画面表示</x:v>
      </x:c>
      <x:c r="H100" s="89" t="str">
        <x:v>GET</x:v>
      </x:c>
      <x:c r="I100" s="89" t="str">
        <x:v>/company/applications/{applicationId}</x:v>
      </x:c>
      <x:c r="J100" s="89" t="str">
        <x:v>CompanyApplicationController</x:v>
      </x:c>
      <x:c r="K100" s="89" t="str">
        <x:v>show_sc_co_015</x:v>
      </x:c>
      <x:c r="L100" s="89" t="str">
        <x:v>company/applications/detail</x:v>
      </x:c>
      <x:c r="M100" s="89" t="str">
        <x:v>必要</x:v>
      </x:c>
      <x:c r="N100" s="89" t="str">
        <x:v>ROLE_COMPANY_MEMBER</x:v>
      </x:c>
      <x:c r="O100" s="89" t="str">
        <x:v>同画面を表示</x:v>
      </x:c>
      <x:c r="P100" s="89" t="str">
        <x:v>権限エラーは /error/access、データなしは404画面</x:v>
      </x:c>
      <x:c r="Q100" s="89" t="str">
        <x:v>〇</x:v>
      </x:c>
      <x:c r="R100" s="89" t="str">
        <x:v>第1段階</x:v>
      </x:c>
      <x:c r="S100" s="90" t="str">
        <x:v>画面一覧のURL案を基に作成</x:v>
      </x:c>
    </x:row>
    <x:row r="101" ht="42" customHeight="1">
      <x:c r="A101" s="79" t="n">
        <x:v>98</x:v>
      </x:c>
      <x:c r="B101" s="80" t="str">
        <x:v>RT-0098</x:v>
      </x:c>
      <x:c r="C101" s="80" t="str">
        <x:v>SC-CO-016</x:v>
      </x:c>
      <x:c r="D101" s="80" t="str">
        <x:v>企業</x:v>
      </x:c>
      <x:c r="E101" s="80" t="str">
        <x:v>応募・採用</x:v>
      </x:c>
      <x:c r="F101" s="80" t="str">
        <x:v>選考ステータス変更</x:v>
      </x:c>
      <x:c r="G101" s="80" t="str">
        <x:v>ダイアログ表示</x:v>
      </x:c>
      <x:c r="H101" s="80" t="str">
        <x:v>GET</x:v>
      </x:c>
      <x:c r="I101" s="80" t="str">
        <x:v>/company/applications/{applicationId}/status</x:v>
      </x:c>
      <x:c r="J101" s="80" t="str">
        <x:v>CompanyApplicationController</x:v>
      </x:c>
      <x:c r="K101" s="80" t="str">
        <x:v>show_sc_co_016</x:v>
      </x:c>
      <x:c r="L101" s="80" t="str">
        <x:v>company/applications/status</x:v>
      </x:c>
      <x:c r="M101" s="80" t="str">
        <x:v>必要</x:v>
      </x:c>
      <x:c r="N101" s="80" t="str">
        <x:v>ROLE_COMPANY_MEMBER</x:v>
      </x:c>
      <x:c r="O101" s="80" t="str">
        <x:v>同画面を表示</x:v>
      </x:c>
      <x:c r="P101" s="80" t="str">
        <x:v>権限エラーは /error/access、データなしは404画面</x:v>
      </x:c>
      <x:c r="Q101" s="80" t="str">
        <x:v>〇</x:v>
      </x:c>
      <x:c r="R101" s="80" t="str">
        <x:v>第1段階</x:v>
      </x:c>
      <x:c r="S101" s="81" t="str">
        <x:v>画面一覧のURL案を基に作成</x:v>
      </x:c>
    </x:row>
    <x:row r="102" ht="42" customHeight="1">
      <x:c r="A102" s="88" t="n">
        <x:v>99</x:v>
      </x:c>
      <x:c r="B102" s="89" t="str">
        <x:v>RT-0099</x:v>
      </x:c>
      <x:c r="C102" s="89" t="str">
        <x:v>SC-CO-016</x:v>
      </x:c>
      <x:c r="D102" s="89" t="str">
        <x:v>企業</x:v>
      </x:c>
      <x:c r="E102" s="89" t="str">
        <x:v>応募・採用</x:v>
      </x:c>
      <x:c r="F102" s="89" t="str">
        <x:v>選考ステータス変更</x:v>
      </x:c>
      <x:c r="G102" s="89" t="str">
        <x:v>状態変更</x:v>
      </x:c>
      <x:c r="H102" s="89" t="str">
        <x:v>POST</x:v>
      </x:c>
      <x:c r="I102" s="89" t="str">
        <x:v>/company/applications/{applicationId}/status</x:v>
      </x:c>
      <x:c r="J102" s="89" t="str">
        <x:v>CompanyApplicationController</x:v>
      </x:c>
      <x:c r="K102" s="89" t="str">
        <x:v>updateStatus_sc_co_016</x:v>
      </x:c>
      <x:c r="L102" s="89" t="str">
        <x:v>redirect またはファイルレスポンス</x:v>
      </x:c>
      <x:c r="M102" s="89" t="str">
        <x:v>必要</x:v>
      </x:c>
      <x:c r="N102" s="89" t="str">
        <x:v>ROLE_COMPANY_MEMBER</x:v>
      </x:c>
      <x:c r="O102" s="89" t="str">
        <x:v>応募者詳細へ</x:v>
      </x:c>
      <x:c r="P102" s="89" t="str">
        <x:v>入力エラーは元画面へ戻す。業務エラーはメッセージ表示</x:v>
      </x:c>
      <x:c r="Q102" s="89" t="str">
        <x:v>〇</x:v>
      </x:c>
      <x:c r="R102" s="89" t="str">
        <x:v>第1段階</x:v>
      </x:c>
      <x:c r="S102" s="90" t="str">
        <x:v>POSTはCSRF有効。更新処理はService層で権限・所有者を再確認</x:v>
      </x:c>
    </x:row>
    <x:row r="103" ht="42" customHeight="1">
      <x:c r="A103" s="79" t="n">
        <x:v>100</x:v>
      </x:c>
      <x:c r="B103" s="80" t="str">
        <x:v>RT-0100</x:v>
      </x:c>
      <x:c r="C103" s="80" t="str">
        <x:v>SC-CO-017</x:v>
      </x:c>
      <x:c r="D103" s="80" t="str">
        <x:v>企業</x:v>
      </x:c>
      <x:c r="E103" s="80" t="str">
        <x:v>応募・採用</x:v>
      </x:c>
      <x:c r="F103" s="80" t="str">
        <x:v>面接日程調整</x:v>
      </x:c>
      <x:c r="G103" s="80" t="str">
        <x:v>画面表示</x:v>
      </x:c>
      <x:c r="H103" s="80" t="str">
        <x:v>GET</x:v>
      </x:c>
      <x:c r="I103" s="80" t="str">
        <x:v>/company/applications/{applicationId}/interview</x:v>
      </x:c>
      <x:c r="J103" s="80" t="str">
        <x:v>CompanyApplicationController</x:v>
      </x:c>
      <x:c r="K103" s="80" t="str">
        <x:v>show_sc_co_017</x:v>
      </x:c>
      <x:c r="L103" s="80" t="str">
        <x:v>company/applications/interview</x:v>
      </x:c>
      <x:c r="M103" s="80" t="str">
        <x:v>必要</x:v>
      </x:c>
      <x:c r="N103" s="80" t="str">
        <x:v>ROLE_COMPANY_MEMBER</x:v>
      </x:c>
      <x:c r="O103" s="80" t="str">
        <x:v>同画面を表示</x:v>
      </x:c>
      <x:c r="P103" s="80" t="str">
        <x:v>権限エラーは /error/access、データなしは404画面</x:v>
      </x:c>
      <x:c r="Q103" s="80" t="str">
        <x:v>△</x:v>
      </x:c>
      <x:c r="R103" s="80" t="str">
        <x:v>第2段階</x:v>
      </x:c>
      <x:c r="S103" s="81" t="str">
        <x:v>画面一覧のURL案を基に作成</x:v>
      </x:c>
    </x:row>
    <x:row r="104" ht="42" customHeight="1">
      <x:c r="A104" s="88" t="n">
        <x:v>101</x:v>
      </x:c>
      <x:c r="B104" s="89" t="str">
        <x:v>RT-0101</x:v>
      </x:c>
      <x:c r="C104" s="89" t="str">
        <x:v>SC-CO-017</x:v>
      </x:c>
      <x:c r="D104" s="89" t="str">
        <x:v>企業</x:v>
      </x:c>
      <x:c r="E104" s="89" t="str">
        <x:v>応募・採用</x:v>
      </x:c>
      <x:c r="F104" s="89" t="str">
        <x:v>面接日程調整</x:v>
      </x:c>
      <x:c r="G104" s="89" t="str">
        <x:v>日程登録</x:v>
      </x:c>
      <x:c r="H104" s="89" t="str">
        <x:v>POST</x:v>
      </x:c>
      <x:c r="I104" s="89" t="str">
        <x:v>/company/applications/{applicationId}/interview</x:v>
      </x:c>
      <x:c r="J104" s="89" t="str">
        <x:v>CompanyApplicationController</x:v>
      </x:c>
      <x:c r="K104" s="89" t="str">
        <x:v>schedule_sc_co_017</x:v>
      </x:c>
      <x:c r="L104" s="89" t="str">
        <x:v>redirect またはファイルレスポンス</x:v>
      </x:c>
      <x:c r="M104" s="89" t="str">
        <x:v>必要</x:v>
      </x:c>
      <x:c r="N104" s="89" t="str">
        <x:v>ROLE_COMPANY_MEMBER</x:v>
      </x:c>
      <x:c r="O104" s="89" t="str">
        <x:v>応募者詳細へ</x:v>
      </x:c>
      <x:c r="P104" s="89" t="str">
        <x:v>入力エラーは元画面へ戻す。業務エラーはメッセージ表示</x:v>
      </x:c>
      <x:c r="Q104" s="89" t="str">
        <x:v>△</x:v>
      </x:c>
      <x:c r="R104" s="89" t="str">
        <x:v>第2段階</x:v>
      </x:c>
      <x:c r="S104" s="90" t="str">
        <x:v>POSTはCSRF有効。更新処理はService層で権限・所有者を再確認</x:v>
      </x:c>
    </x:row>
    <x:row r="105" ht="42" customHeight="1">
      <x:c r="A105" s="79" t="n">
        <x:v>102</x:v>
      </x:c>
      <x:c r="B105" s="80" t="str">
        <x:v>RT-0102</x:v>
      </x:c>
      <x:c r="C105" s="80" t="str">
        <x:v>SC-CO-018</x:v>
      </x:c>
      <x:c r="D105" s="80" t="str">
        <x:v>企業</x:v>
      </x:c>
      <x:c r="E105" s="80" t="str">
        <x:v>応募・採用</x:v>
      </x:c>
      <x:c r="F105" s="80" t="str">
        <x:v>内定通知作成</x:v>
      </x:c>
      <x:c r="G105" s="80" t="str">
        <x:v>画面表示</x:v>
      </x:c>
      <x:c r="H105" s="80" t="str">
        <x:v>GET</x:v>
      </x:c>
      <x:c r="I105" s="80" t="str">
        <x:v>/company/applications/{applicationId}/offer</x:v>
      </x:c>
      <x:c r="J105" s="80" t="str">
        <x:v>CompanyApplicationController</x:v>
      </x:c>
      <x:c r="K105" s="80" t="str">
        <x:v>show_sc_co_018</x:v>
      </x:c>
      <x:c r="L105" s="80" t="str">
        <x:v>company/applications/offer</x:v>
      </x:c>
      <x:c r="M105" s="80" t="str">
        <x:v>必要</x:v>
      </x:c>
      <x:c r="N105" s="80" t="str">
        <x:v>ROLE_COMPANY_MEMBER</x:v>
      </x:c>
      <x:c r="O105" s="80" t="str">
        <x:v>同画面を表示</x:v>
      </x:c>
      <x:c r="P105" s="80" t="str">
        <x:v>権限エラーは /error/access、データなしは404画面</x:v>
      </x:c>
      <x:c r="Q105" s="80" t="str">
        <x:v>△</x:v>
      </x:c>
      <x:c r="R105" s="80" t="str">
        <x:v>第2段階</x:v>
      </x:c>
      <x:c r="S105" s="81" t="str">
        <x:v>画面一覧のURL案を基に作成</x:v>
      </x:c>
    </x:row>
    <x:row r="106" ht="42" customHeight="1">
      <x:c r="A106" s="88" t="n">
        <x:v>103</x:v>
      </x:c>
      <x:c r="B106" s="89" t="str">
        <x:v>RT-0103</x:v>
      </x:c>
      <x:c r="C106" s="89" t="str">
        <x:v>SC-CO-018</x:v>
      </x:c>
      <x:c r="D106" s="89" t="str">
        <x:v>企業</x:v>
      </x:c>
      <x:c r="E106" s="89" t="str">
        <x:v>応募・採用</x:v>
      </x:c>
      <x:c r="F106" s="89" t="str">
        <x:v>内定通知作成</x:v>
      </x:c>
      <x:c r="G106" s="89" t="str">
        <x:v>内定通知</x:v>
      </x:c>
      <x:c r="H106" s="89" t="str">
        <x:v>POST</x:v>
      </x:c>
      <x:c r="I106" s="89" t="str">
        <x:v>/company/applications/{applicationId}/offer</x:v>
      </x:c>
      <x:c r="J106" s="89" t="str">
        <x:v>CompanyApplicationController</x:v>
      </x:c>
      <x:c r="K106" s="89" t="str">
        <x:v>offer_sc_co_018</x:v>
      </x:c>
      <x:c r="L106" s="89" t="str">
        <x:v>redirect またはファイルレスポンス</x:v>
      </x:c>
      <x:c r="M106" s="89" t="str">
        <x:v>必要</x:v>
      </x:c>
      <x:c r="N106" s="89" t="str">
        <x:v>ROLE_COMPANY_MEMBER</x:v>
      </x:c>
      <x:c r="O106" s="89" t="str">
        <x:v>応募者詳細へ</x:v>
      </x:c>
      <x:c r="P106" s="89" t="str">
        <x:v>入力エラーは元画面へ戻す。業務エラーはメッセージ表示</x:v>
      </x:c>
      <x:c r="Q106" s="89" t="str">
        <x:v>△</x:v>
      </x:c>
      <x:c r="R106" s="89" t="str">
        <x:v>第2段階</x:v>
      </x:c>
      <x:c r="S106" s="90" t="str">
        <x:v>POSTはCSRF有効。更新処理はService層で権限・所有者を再確認</x:v>
      </x:c>
    </x:row>
    <x:row r="107" ht="42" customHeight="1">
      <x:c r="A107" s="79" t="n">
        <x:v>104</x:v>
      </x:c>
      <x:c r="B107" s="80" t="str">
        <x:v>RT-0104</x:v>
      </x:c>
      <x:c r="C107" s="80" t="str">
        <x:v>SC-CO-019</x:v>
      </x:c>
      <x:c r="D107" s="80" t="str">
        <x:v>企業</x:v>
      </x:c>
      <x:c r="E107" s="80" t="str">
        <x:v>応募・採用</x:v>
      </x:c>
      <x:c r="F107" s="80" t="str">
        <x:v>応募者メモ編集</x:v>
      </x:c>
      <x:c r="G107" s="80" t="str">
        <x:v>ダイアログ表示</x:v>
      </x:c>
      <x:c r="H107" s="80" t="str">
        <x:v>GET</x:v>
      </x:c>
      <x:c r="I107" s="80" t="str">
        <x:v>/company/applications/{applicationId}/memo</x:v>
      </x:c>
      <x:c r="J107" s="80" t="str">
        <x:v>CompanyApplicationController</x:v>
      </x:c>
      <x:c r="K107" s="80" t="str">
        <x:v>show_sc_co_019</x:v>
      </x:c>
      <x:c r="L107" s="80" t="str">
        <x:v>company/applications/memo</x:v>
      </x:c>
      <x:c r="M107" s="80" t="str">
        <x:v>必要</x:v>
      </x:c>
      <x:c r="N107" s="80" t="str">
        <x:v>ROLE_COMPANY_MEMBER</x:v>
      </x:c>
      <x:c r="O107" s="80" t="str">
        <x:v>同画面を表示</x:v>
      </x:c>
      <x:c r="P107" s="80" t="str">
        <x:v>権限エラーは /error/access、データなしは404画面</x:v>
      </x:c>
      <x:c r="Q107" s="80" t="str">
        <x:v>△</x:v>
      </x:c>
      <x:c r="R107" s="80" t="str">
        <x:v>第2段階</x:v>
      </x:c>
      <x:c r="S107" s="81" t="str">
        <x:v>画面一覧のURL案を基に作成</x:v>
      </x:c>
    </x:row>
    <x:row r="108" ht="42" customHeight="1">
      <x:c r="A108" s="88" t="n">
        <x:v>105</x:v>
      </x:c>
      <x:c r="B108" s="89" t="str">
        <x:v>RT-0105</x:v>
      </x:c>
      <x:c r="C108" s="89" t="str">
        <x:v>SC-CO-019</x:v>
      </x:c>
      <x:c r="D108" s="89" t="str">
        <x:v>企業</x:v>
      </x:c>
      <x:c r="E108" s="89" t="str">
        <x:v>応募・採用</x:v>
      </x:c>
      <x:c r="F108" s="89" t="str">
        <x:v>応募者メモ編集</x:v>
      </x:c>
      <x:c r="G108" s="89" t="str">
        <x:v>更新</x:v>
      </x:c>
      <x:c r="H108" s="89" t="str">
        <x:v>POST</x:v>
      </x:c>
      <x:c r="I108" s="89" t="str">
        <x:v>/company/applications/{applicationId}/memo</x:v>
      </x:c>
      <x:c r="J108" s="89" t="str">
        <x:v>CompanyApplicationController</x:v>
      </x:c>
      <x:c r="K108" s="89" t="str">
        <x:v>updateMemo_sc_co_019</x:v>
      </x:c>
      <x:c r="L108" s="89" t="str">
        <x:v>redirect またはファイルレスポンス</x:v>
      </x:c>
      <x:c r="M108" s="89" t="str">
        <x:v>必要</x:v>
      </x:c>
      <x:c r="N108" s="89" t="str">
        <x:v>ROLE_COMPANY_MEMBER</x:v>
      </x:c>
      <x:c r="O108" s="89" t="str">
        <x:v>応募者詳細へ</x:v>
      </x:c>
      <x:c r="P108" s="89" t="str">
        <x:v>入力エラーは元画面へ戻す。業務エラーはメッセージ表示</x:v>
      </x:c>
      <x:c r="Q108" s="89" t="str">
        <x:v>△</x:v>
      </x:c>
      <x:c r="R108" s="89" t="str">
        <x:v>第2段階</x:v>
      </x:c>
      <x:c r="S108" s="90" t="str">
        <x:v>POSTはCSRF有効。更新処理はService層で権限・所有者を再確認</x:v>
      </x:c>
    </x:row>
    <x:row r="109" ht="42" customHeight="1">
      <x:c r="A109" s="79" t="n">
        <x:v>106</x:v>
      </x:c>
      <x:c r="B109" s="80" t="str">
        <x:v>RT-0106</x:v>
      </x:c>
      <x:c r="C109" s="80" t="str">
        <x:v>SC-CO-020</x:v>
      </x:c>
      <x:c r="D109" s="80" t="str">
        <x:v>企業</x:v>
      </x:c>
      <x:c r="E109" s="80" t="str">
        <x:v>チャット</x:v>
      </x:c>
      <x:c r="F109" s="80" t="str">
        <x:v>企業チャット一覧</x:v>
      </x:c>
      <x:c r="G109" s="80" t="str">
        <x:v>画面表示</x:v>
      </x:c>
      <x:c r="H109" s="80" t="str">
        <x:v>GET</x:v>
      </x:c>
      <x:c r="I109" s="80" t="str">
        <x:v>/company/chats</x:v>
      </x:c>
      <x:c r="J109" s="80" t="str">
        <x:v>CompanyChatController</x:v>
      </x:c>
      <x:c r="K109" s="80" t="str">
        <x:v>show_sc_co_020</x:v>
      </x:c>
      <x:c r="L109" s="80" t="str">
        <x:v>company/chats</x:v>
      </x:c>
      <x:c r="M109" s="80" t="str">
        <x:v>必要</x:v>
      </x:c>
      <x:c r="N109" s="80" t="str">
        <x:v>ROLE_COMPANY_MEMBER</x:v>
      </x:c>
      <x:c r="O109" s="80" t="str">
        <x:v>同画面を表示</x:v>
      </x:c>
      <x:c r="P109" s="80" t="str">
        <x:v>権限エラーは /error/access、データなしは404画面</x:v>
      </x:c>
      <x:c r="Q109" s="80" t="str">
        <x:v>〇</x:v>
      </x:c>
      <x:c r="R109" s="80" t="str">
        <x:v>第1段階</x:v>
      </x:c>
      <x:c r="S109" s="81" t="str">
        <x:v>画面一覧のURL案を基に作成</x:v>
      </x:c>
    </x:row>
    <x:row r="110" ht="42" customHeight="1">
      <x:c r="A110" s="88" t="n">
        <x:v>107</x:v>
      </x:c>
      <x:c r="B110" s="89" t="str">
        <x:v>RT-0107</x:v>
      </x:c>
      <x:c r="C110" s="89" t="str">
        <x:v>SC-CO-021</x:v>
      </x:c>
      <x:c r="D110" s="89" t="str">
        <x:v>企業</x:v>
      </x:c>
      <x:c r="E110" s="89" t="str">
        <x:v>チャット</x:v>
      </x:c>
      <x:c r="F110" s="89" t="str">
        <x:v>企業チャットルーム</x:v>
      </x:c>
      <x:c r="G110" s="89" t="str">
        <x:v>画面表示</x:v>
      </x:c>
      <x:c r="H110" s="89" t="str">
        <x:v>GET</x:v>
      </x:c>
      <x:c r="I110" s="89" t="str">
        <x:v>/company/chats/{roomId}</x:v>
      </x:c>
      <x:c r="J110" s="89" t="str">
        <x:v>CompanyChatController</x:v>
      </x:c>
      <x:c r="K110" s="89" t="str">
        <x:v>show_sc_co_021</x:v>
      </x:c>
      <x:c r="L110" s="89" t="str">
        <x:v>company/chats/detail</x:v>
      </x:c>
      <x:c r="M110" s="89" t="str">
        <x:v>必要</x:v>
      </x:c>
      <x:c r="N110" s="89" t="str">
        <x:v>ROLE_COMPANY_MEMBER</x:v>
      </x:c>
      <x:c r="O110" s="89" t="str">
        <x:v>同画面を表示</x:v>
      </x:c>
      <x:c r="P110" s="89" t="str">
        <x:v>権限エラーは /error/access、データなしは404画面</x:v>
      </x:c>
      <x:c r="Q110" s="89" t="str">
        <x:v>〇</x:v>
      </x:c>
      <x:c r="R110" s="89" t="str">
        <x:v>第1段階</x:v>
      </x:c>
      <x:c r="S110" s="90" t="str">
        <x:v>画面一覧のURL案を基に作成</x:v>
      </x:c>
    </x:row>
    <x:row r="111" ht="42" customHeight="1">
      <x:c r="A111" s="79" t="n">
        <x:v>108</x:v>
      </x:c>
      <x:c r="B111" s="80" t="str">
        <x:v>RT-0108</x:v>
      </x:c>
      <x:c r="C111" s="80" t="str">
        <x:v>SC-CO-022</x:v>
      </x:c>
      <x:c r="D111" s="80" t="str">
        <x:v>企業</x:v>
      </x:c>
      <x:c r="E111" s="80" t="str">
        <x:v>評価</x:v>
      </x:c>
      <x:c r="F111" s="80" t="str">
        <x:v>ユーザー評価対象一覧</x:v>
      </x:c>
      <x:c r="G111" s="80" t="str">
        <x:v>画面表示</x:v>
      </x:c>
      <x:c r="H111" s="80" t="str">
        <x:v>GET</x:v>
      </x:c>
      <x:c r="I111" s="80" t="str">
        <x:v>/company/reviews/users</x:v>
      </x:c>
      <x:c r="J111" s="80" t="str">
        <x:v>CompanyReviewController</x:v>
      </x:c>
      <x:c r="K111" s="80" t="str">
        <x:v>show_sc_co_022</x:v>
      </x:c>
      <x:c r="L111" s="80" t="str">
        <x:v>company/reviews/users</x:v>
      </x:c>
      <x:c r="M111" s="80" t="str">
        <x:v>必要</x:v>
      </x:c>
      <x:c r="N111" s="80" t="str">
        <x:v>ROLE_COMPANY_MEMBER</x:v>
      </x:c>
      <x:c r="O111" s="80" t="str">
        <x:v>同画面を表示</x:v>
      </x:c>
      <x:c r="P111" s="80" t="str">
        <x:v>権限エラーは /error/access、データなしは404画面</x:v>
      </x:c>
      <x:c r="Q111" s="80" t="str">
        <x:v>〇</x:v>
      </x:c>
      <x:c r="R111" s="80" t="str">
        <x:v>第1段階</x:v>
      </x:c>
      <x:c r="S111" s="81" t="str">
        <x:v>画面一覧のURL案を基に作成</x:v>
      </x:c>
    </x:row>
    <x:row r="112" ht="42" customHeight="1">
      <x:c r="A112" s="88" t="n">
        <x:v>109</x:v>
      </x:c>
      <x:c r="B112" s="89" t="str">
        <x:v>RT-0109</x:v>
      </x:c>
      <x:c r="C112" s="89" t="str">
        <x:v>SC-CO-023</x:v>
      </x:c>
      <x:c r="D112" s="89" t="str">
        <x:v>企業</x:v>
      </x:c>
      <x:c r="E112" s="89" t="str">
        <x:v>評価</x:v>
      </x:c>
      <x:c r="F112" s="89" t="str">
        <x:v>ユーザー評価入力</x:v>
      </x:c>
      <x:c r="G112" s="89" t="str">
        <x:v>画面表示</x:v>
      </x:c>
      <x:c r="H112" s="89" t="str">
        <x:v>GET</x:v>
      </x:c>
      <x:c r="I112" s="89" t="str">
        <x:v>/company/reviews/users/{targetId}/edit</x:v>
      </x:c>
      <x:c r="J112" s="89" t="str">
        <x:v>CompanyReviewController</x:v>
      </x:c>
      <x:c r="K112" s="89" t="str">
        <x:v>show_sc_co_023</x:v>
      </x:c>
      <x:c r="L112" s="89" t="str">
        <x:v>company/reviews/users/form</x:v>
      </x:c>
      <x:c r="M112" s="89" t="str">
        <x:v>必要</x:v>
      </x:c>
      <x:c r="N112" s="89" t="str">
        <x:v>ROLE_COMPANY_MEMBER</x:v>
      </x:c>
      <x:c r="O112" s="89" t="str">
        <x:v>同画面を表示</x:v>
      </x:c>
      <x:c r="P112" s="89" t="str">
        <x:v>権限エラーは /error/access、データなしは404画面</x:v>
      </x:c>
      <x:c r="Q112" s="89" t="str">
        <x:v>〇</x:v>
      </x:c>
      <x:c r="R112" s="89" t="str">
        <x:v>第1段階</x:v>
      </x:c>
      <x:c r="S112" s="90" t="str">
        <x:v>画面一覧のURL案を基に作成</x:v>
      </x:c>
    </x:row>
    <x:row r="113" ht="42" customHeight="1">
      <x:c r="A113" s="79" t="n">
        <x:v>110</x:v>
      </x:c>
      <x:c r="B113" s="80" t="str">
        <x:v>RT-0110</x:v>
      </x:c>
      <x:c r="C113" s="80" t="str">
        <x:v>SC-CO-023</x:v>
      </x:c>
      <x:c r="D113" s="80" t="str">
        <x:v>企業</x:v>
      </x:c>
      <x:c r="E113" s="80" t="str">
        <x:v>評価</x:v>
      </x:c>
      <x:c r="F113" s="80" t="str">
        <x:v>ユーザー評価入力</x:v>
      </x:c>
      <x:c r="G113" s="80" t="str">
        <x:v>確認</x:v>
      </x:c>
      <x:c r="H113" s="80" t="str">
        <x:v>POST</x:v>
      </x:c>
      <x:c r="I113" s="80" t="str">
        <x:v>/company/reviews/users/{targetId}/confirm</x:v>
      </x:c>
      <x:c r="J113" s="80" t="str">
        <x:v>CompanyReviewController</x:v>
      </x:c>
      <x:c r="K113" s="80" t="str">
        <x:v>confirm_sc_co_023</x:v>
      </x:c>
      <x:c r="L113" s="80" t="str">
        <x:v>redirect またはファイルレスポンス</x:v>
      </x:c>
      <x:c r="M113" s="80" t="str">
        <x:v>必要</x:v>
      </x:c>
      <x:c r="N113" s="80" t="str">
        <x:v>ROLE_COMPANY_MEMBER</x:v>
      </x:c>
      <x:c r="O113" s="80" t="str">
        <x:v>ユーザー評価確認へ</x:v>
      </x:c>
      <x:c r="P113" s="80" t="str">
        <x:v>入力エラーは元画面へ戻す。業務エラーはメッセージ表示</x:v>
      </x:c>
      <x:c r="Q113" s="80" t="str">
        <x:v>〇</x:v>
      </x:c>
      <x:c r="R113" s="80" t="str">
        <x:v>第1段階</x:v>
      </x:c>
      <x:c r="S113" s="81" t="str">
        <x:v>POSTはCSRF有効。更新処理はService層で権限・所有者を再確認</x:v>
      </x:c>
    </x:row>
    <x:row r="114" ht="42" customHeight="1">
      <x:c r="A114" s="88" t="n">
        <x:v>111</x:v>
      </x:c>
      <x:c r="B114" s="89" t="str">
        <x:v>RT-0111</x:v>
      </x:c>
      <x:c r="C114" s="89" t="str">
        <x:v>SC-CO-024</x:v>
      </x:c>
      <x:c r="D114" s="89" t="str">
        <x:v>企業</x:v>
      </x:c>
      <x:c r="E114" s="89" t="str">
        <x:v>評価</x:v>
      </x:c>
      <x:c r="F114" s="89" t="str">
        <x:v>ユーザー評価確認・確定</x:v>
      </x:c>
      <x:c r="G114" s="89" t="str">
        <x:v>画面表示</x:v>
      </x:c>
      <x:c r="H114" s="89" t="str">
        <x:v>GET</x:v>
      </x:c>
      <x:c r="I114" s="89" t="str">
        <x:v>/company/reviews/users/{targetId}/confirm</x:v>
      </x:c>
      <x:c r="J114" s="89" t="str">
        <x:v>CompanyReviewController</x:v>
      </x:c>
      <x:c r="K114" s="89" t="str">
        <x:v>show_sc_co_024</x:v>
      </x:c>
      <x:c r="L114" s="89" t="str">
        <x:v>company/reviews/users/confirm</x:v>
      </x:c>
      <x:c r="M114" s="89" t="str">
        <x:v>必要</x:v>
      </x:c>
      <x:c r="N114" s="89" t="str">
        <x:v>ROLE_COMPANY_MEMBER</x:v>
      </x:c>
      <x:c r="O114" s="89" t="str">
        <x:v>同画面を表示</x:v>
      </x:c>
      <x:c r="P114" s="89" t="str">
        <x:v>権限エラーは /error/access、データなしは404画面</x:v>
      </x:c>
      <x:c r="Q114" s="89" t="str">
        <x:v>〇</x:v>
      </x:c>
      <x:c r="R114" s="89" t="str">
        <x:v>第1段階</x:v>
      </x:c>
      <x:c r="S114" s="90" t="str">
        <x:v>画面一覧のURL案を基に作成</x:v>
      </x:c>
    </x:row>
    <x:row r="115" ht="42" customHeight="1">
      <x:c r="A115" s="79" t="n">
        <x:v>112</x:v>
      </x:c>
      <x:c r="B115" s="80" t="str">
        <x:v>RT-0112</x:v>
      </x:c>
      <x:c r="C115" s="80" t="str">
        <x:v>SC-CO-024</x:v>
      </x:c>
      <x:c r="D115" s="80" t="str">
        <x:v>企業</x:v>
      </x:c>
      <x:c r="E115" s="80" t="str">
        <x:v>評価</x:v>
      </x:c>
      <x:c r="F115" s="80" t="str">
        <x:v>ユーザー評価確認・確定</x:v>
      </x:c>
      <x:c r="G115" s="80" t="str">
        <x:v>登録</x:v>
      </x:c>
      <x:c r="H115" s="80" t="str">
        <x:v>POST</x:v>
      </x:c>
      <x:c r="I115" s="80" t="str">
        <x:v>/company/reviews/users/{targetId}/complete</x:v>
      </x:c>
      <x:c r="J115" s="80" t="str">
        <x:v>CompanyReviewController</x:v>
      </x:c>
      <x:c r="K115" s="80" t="str">
        <x:v>submit_sc_co_024</x:v>
      </x:c>
      <x:c r="L115" s="80" t="str">
        <x:v>redirect またはファイルレスポンス</x:v>
      </x:c>
      <x:c r="M115" s="80" t="str">
        <x:v>必要</x:v>
      </x:c>
      <x:c r="N115" s="80" t="str">
        <x:v>ROLE_COMPANY_MEMBER</x:v>
      </x:c>
      <x:c r="O115" s="80" t="str">
        <x:v>評価対象一覧へ</x:v>
      </x:c>
      <x:c r="P115" s="80" t="str">
        <x:v>入力エラーは元画面へ戻す。業務エラーはメッセージ表示</x:v>
      </x:c>
      <x:c r="Q115" s="80" t="str">
        <x:v>〇</x:v>
      </x:c>
      <x:c r="R115" s="80" t="str">
        <x:v>第1段階</x:v>
      </x:c>
      <x:c r="S115" s="81" t="str">
        <x:v>POSTはCSRF有効。更新処理はService層で権限・所有者を再確認</x:v>
      </x:c>
    </x:row>
    <x:row r="116" ht="42" customHeight="1">
      <x:c r="A116" s="88" t="n">
        <x:v>113</x:v>
      </x:c>
      <x:c r="B116" s="89" t="str">
        <x:v>RT-0113</x:v>
      </x:c>
      <x:c r="C116" s="89" t="str">
        <x:v>SC-CO-025</x:v>
      </x:c>
      <x:c r="D116" s="89" t="str">
        <x:v>企業</x:v>
      </x:c>
      <x:c r="E116" s="89" t="str">
        <x:v>評価</x:v>
      </x:c>
      <x:c r="F116" s="89" t="str">
        <x:v>評価協力率・料金見込み</x:v>
      </x:c>
      <x:c r="G116" s="89" t="str">
        <x:v>画面表示</x:v>
      </x:c>
      <x:c r="H116" s="89" t="str">
        <x:v>GET</x:v>
      </x:c>
      <x:c r="I116" s="89" t="str">
        <x:v>/company/reviews/cooperation-rate</x:v>
      </x:c>
      <x:c r="J116" s="89" t="str">
        <x:v>CompanyReviewController</x:v>
      </x:c>
      <x:c r="K116" s="89" t="str">
        <x:v>show_sc_co_025</x:v>
      </x:c>
      <x:c r="L116" s="89" t="str">
        <x:v>company/reviews/cooperation-rate</x:v>
      </x:c>
      <x:c r="M116" s="89" t="str">
        <x:v>必要</x:v>
      </x:c>
      <x:c r="N116" s="89" t="str">
        <x:v>ROLE_COMPANY_MEMBER</x:v>
      </x:c>
      <x:c r="O116" s="89" t="str">
        <x:v>同画面を表示</x:v>
      </x:c>
      <x:c r="P116" s="89" t="str">
        <x:v>権限エラーは /error/access、データなしは404画面</x:v>
      </x:c>
      <x:c r="Q116" s="89" t="str">
        <x:v>〇</x:v>
      </x:c>
      <x:c r="R116" s="89" t="str">
        <x:v>第1段階</x:v>
      </x:c>
      <x:c r="S116" s="90" t="str">
        <x:v>画面一覧のURL案を基に作成</x:v>
      </x:c>
    </x:row>
    <x:row r="117" ht="42" customHeight="1">
      <x:c r="A117" s="79" t="n">
        <x:v>114</x:v>
      </x:c>
      <x:c r="B117" s="80" t="str">
        <x:v>RT-0114</x:v>
      </x:c>
      <x:c r="C117" s="80" t="str">
        <x:v>SC-CO-026</x:v>
      </x:c>
      <x:c r="D117" s="80" t="str">
        <x:v>企業</x:v>
      </x:c>
      <x:c r="E117" s="80" t="str">
        <x:v>評価</x:v>
      </x:c>
      <x:c r="F117" s="80" t="str">
        <x:v>企業への評価・公式返信</x:v>
      </x:c>
      <x:c r="G117" s="80" t="str">
        <x:v>画面表示</x:v>
      </x:c>
      <x:c r="H117" s="80" t="str">
        <x:v>GET</x:v>
      </x:c>
      <x:c r="I117" s="80" t="str">
        <x:v>/company/reviews/received</x:v>
      </x:c>
      <x:c r="J117" s="80" t="str">
        <x:v>CompanyReviewController</x:v>
      </x:c>
      <x:c r="K117" s="80" t="str">
        <x:v>show_sc_co_026</x:v>
      </x:c>
      <x:c r="L117" s="80" t="str">
        <x:v>company/reviews/received</x:v>
      </x:c>
      <x:c r="M117" s="80" t="str">
        <x:v>必要</x:v>
      </x:c>
      <x:c r="N117" s="80" t="str">
        <x:v>ROLE_COMPANY_MEMBER</x:v>
      </x:c>
      <x:c r="O117" s="80" t="str">
        <x:v>同画面を表示</x:v>
      </x:c>
      <x:c r="P117" s="80" t="str">
        <x:v>権限エラーは /error/access、データなしは404画面</x:v>
      </x:c>
      <x:c r="Q117" s="80" t="str">
        <x:v>△</x:v>
      </x:c>
      <x:c r="R117" s="80" t="str">
        <x:v>第2段階</x:v>
      </x:c>
      <x:c r="S117" s="81" t="str">
        <x:v>画面一覧のURL案を基に作成</x:v>
      </x:c>
    </x:row>
    <x:row r="118" ht="42" customHeight="1">
      <x:c r="A118" s="88" t="n">
        <x:v>115</x:v>
      </x:c>
      <x:c r="B118" s="89" t="str">
        <x:v>RT-0115</x:v>
      </x:c>
      <x:c r="C118" s="89" t="str">
        <x:v>SC-CO-026</x:v>
      </x:c>
      <x:c r="D118" s="89" t="str">
        <x:v>企業</x:v>
      </x:c>
      <x:c r="E118" s="89" t="str">
        <x:v>評価</x:v>
      </x:c>
      <x:c r="F118" s="89" t="str">
        <x:v>企業への評価・公式返信</x:v>
      </x:c>
      <x:c r="G118" s="89" t="str">
        <x:v>公式返信</x:v>
      </x:c>
      <x:c r="H118" s="89" t="str">
        <x:v>POST</x:v>
      </x:c>
      <x:c r="I118" s="89" t="str">
        <x:v>/company/reviews/{reviewId}/reply</x:v>
      </x:c>
      <x:c r="J118" s="89" t="str">
        <x:v>CompanyReviewController</x:v>
      </x:c>
      <x:c r="K118" s="89" t="str">
        <x:v>reply_sc_co_026</x:v>
      </x:c>
      <x:c r="L118" s="89" t="str">
        <x:v>redirect またはファイルレスポンス</x:v>
      </x:c>
      <x:c r="M118" s="89" t="str">
        <x:v>必要</x:v>
      </x:c>
      <x:c r="N118" s="89" t="str">
        <x:v>ROLE_COMPANY_MEMBER</x:v>
      </x:c>
      <x:c r="O118" s="89" t="str">
        <x:v>同画面へ</x:v>
      </x:c>
      <x:c r="P118" s="89" t="str">
        <x:v>入力エラーは元画面へ戻す。業務エラーはメッセージ表示</x:v>
      </x:c>
      <x:c r="Q118" s="89" t="str">
        <x:v>△</x:v>
      </x:c>
      <x:c r="R118" s="89" t="str">
        <x:v>第2段階</x:v>
      </x:c>
      <x:c r="S118" s="90" t="str">
        <x:v>POSTはCSRF有効。更新処理はService層で権限・所有者を再確認</x:v>
      </x:c>
    </x:row>
    <x:row r="119" ht="42" customHeight="1">
      <x:c r="A119" s="79" t="n">
        <x:v>116</x:v>
      </x:c>
      <x:c r="B119" s="80" t="str">
        <x:v>RT-0116</x:v>
      </x:c>
      <x:c r="C119" s="80" t="str">
        <x:v>SC-CO-027</x:v>
      </x:c>
      <x:c r="D119" s="80" t="str">
        <x:v>企業</x:v>
      </x:c>
      <x:c r="E119" s="80" t="str">
        <x:v>従業員管理</x:v>
      </x:c>
      <x:c r="F119" s="80" t="str">
        <x:v>採用者の従業員登録</x:v>
      </x:c>
      <x:c r="G119" s="80" t="str">
        <x:v>画面表示</x:v>
      </x:c>
      <x:c r="H119" s="80" t="str">
        <x:v>GET</x:v>
      </x:c>
      <x:c r="I119" s="80" t="str">
        <x:v>/company/employees/register/{applicationId}</x:v>
      </x:c>
      <x:c r="J119" s="80" t="str">
        <x:v>CompanyEmployeeController</x:v>
      </x:c>
      <x:c r="K119" s="80" t="str">
        <x:v>show_sc_co_027</x:v>
      </x:c>
      <x:c r="L119" s="80" t="str">
        <x:v>company/employees/register/detail</x:v>
      </x:c>
      <x:c r="M119" s="80" t="str">
        <x:v>必要</x:v>
      </x:c>
      <x:c r="N119" s="80" t="str">
        <x:v>ROLE_COMPANY_MEMBER</x:v>
      </x:c>
      <x:c r="O119" s="80" t="str">
        <x:v>同画面を表示</x:v>
      </x:c>
      <x:c r="P119" s="80" t="str">
        <x:v>権限エラーは /error/access、データなしは404画面</x:v>
      </x:c>
      <x:c r="Q119" s="80" t="str">
        <x:v>×</x:v>
      </x:c>
      <x:c r="R119" s="80" t="str">
        <x:v>第3段階</x:v>
      </x:c>
      <x:c r="S119" s="81" t="str">
        <x:v>画面一覧のURL案を基に作成</x:v>
      </x:c>
    </x:row>
    <x:row r="120" ht="42" customHeight="1">
      <x:c r="A120" s="88" t="n">
        <x:v>117</x:v>
      </x:c>
      <x:c r="B120" s="89" t="str">
        <x:v>RT-0117</x:v>
      </x:c>
      <x:c r="C120" s="89" t="str">
        <x:v>SC-CO-027</x:v>
      </x:c>
      <x:c r="D120" s="89" t="str">
        <x:v>企業</x:v>
      </x:c>
      <x:c r="E120" s="89" t="str">
        <x:v>従業員管理</x:v>
      </x:c>
      <x:c r="F120" s="89" t="str">
        <x:v>採用者の従業員登録</x:v>
      </x:c>
      <x:c r="G120" s="89" t="str">
        <x:v>従業員登録</x:v>
      </x:c>
      <x:c r="H120" s="89" t="str">
        <x:v>POST</x:v>
      </x:c>
      <x:c r="I120" s="89" t="str">
        <x:v>/company/employees/register/{applicationId}</x:v>
      </x:c>
      <x:c r="J120" s="89" t="str">
        <x:v>CompanyEmployeeController</x:v>
      </x:c>
      <x:c r="K120" s="89" t="str">
        <x:v>register_sc_co_027</x:v>
      </x:c>
      <x:c r="L120" s="89" t="str">
        <x:v>redirect またはファイルレスポンス</x:v>
      </x:c>
      <x:c r="M120" s="89" t="str">
        <x:v>必要</x:v>
      </x:c>
      <x:c r="N120" s="89" t="str">
        <x:v>ROLE_COMPANY_MEMBER</x:v>
      </x:c>
      <x:c r="O120" s="89" t="str">
        <x:v>従業員詳細へ</x:v>
      </x:c>
      <x:c r="P120" s="89" t="str">
        <x:v>入力エラーは元画面へ戻す。業務エラーはメッセージ表示</x:v>
      </x:c>
      <x:c r="Q120" s="89" t="str">
        <x:v>×</x:v>
      </x:c>
      <x:c r="R120" s="89" t="str">
        <x:v>第3段階</x:v>
      </x:c>
      <x:c r="S120" s="90" t="str">
        <x:v>POSTはCSRF有効。更新処理はService層で権限・所有者を再確認</x:v>
      </x:c>
    </x:row>
    <x:row r="121" ht="42" customHeight="1">
      <x:c r="A121" s="79" t="n">
        <x:v>118</x:v>
      </x:c>
      <x:c r="B121" s="80" t="str">
        <x:v>RT-0118</x:v>
      </x:c>
      <x:c r="C121" s="80" t="str">
        <x:v>SC-CO-028</x:v>
      </x:c>
      <x:c r="D121" s="80" t="str">
        <x:v>企業</x:v>
      </x:c>
      <x:c r="E121" s="80" t="str">
        <x:v>従業員管理</x:v>
      </x:c>
      <x:c r="F121" s="80" t="str">
        <x:v>従業員一覧</x:v>
      </x:c>
      <x:c r="G121" s="80" t="str">
        <x:v>画面表示</x:v>
      </x:c>
      <x:c r="H121" s="80" t="str">
        <x:v>GET</x:v>
      </x:c>
      <x:c r="I121" s="80" t="str">
        <x:v>/company/employees</x:v>
      </x:c>
      <x:c r="J121" s="80" t="str">
        <x:v>CompanyEmployeeController</x:v>
      </x:c>
      <x:c r="K121" s="80" t="str">
        <x:v>show_sc_co_028</x:v>
      </x:c>
      <x:c r="L121" s="80" t="str">
        <x:v>company/employees</x:v>
      </x:c>
      <x:c r="M121" s="80" t="str">
        <x:v>必要</x:v>
      </x:c>
      <x:c r="N121" s="80" t="str">
        <x:v>ROLE_COMPANY_MEMBER</x:v>
      </x:c>
      <x:c r="O121" s="80" t="str">
        <x:v>同画面を表示</x:v>
      </x:c>
      <x:c r="P121" s="80" t="str">
        <x:v>権限エラーは /error/access、データなしは404画面</x:v>
      </x:c>
      <x:c r="Q121" s="80" t="str">
        <x:v>×</x:v>
      </x:c>
      <x:c r="R121" s="80" t="str">
        <x:v>第3段階</x:v>
      </x:c>
      <x:c r="S121" s="81" t="str">
        <x:v>画面一覧のURL案を基に作成</x:v>
      </x:c>
    </x:row>
    <x:row r="122" ht="42" customHeight="1">
      <x:c r="A122" s="88" t="n">
        <x:v>119</x:v>
      </x:c>
      <x:c r="B122" s="89" t="str">
        <x:v>RT-0119</x:v>
      </x:c>
      <x:c r="C122" s="89" t="str">
        <x:v>SC-CO-029</x:v>
      </x:c>
      <x:c r="D122" s="89" t="str">
        <x:v>企業</x:v>
      </x:c>
      <x:c r="E122" s="89" t="str">
        <x:v>従業員管理</x:v>
      </x:c>
      <x:c r="F122" s="89" t="str">
        <x:v>従業員詳細</x:v>
      </x:c>
      <x:c r="G122" s="89" t="str">
        <x:v>画面表示</x:v>
      </x:c>
      <x:c r="H122" s="89" t="str">
        <x:v>GET</x:v>
      </x:c>
      <x:c r="I122" s="89" t="str">
        <x:v>/company/employees/{employeeId}</x:v>
      </x:c>
      <x:c r="J122" s="89" t="str">
        <x:v>CompanyEmployeeController</x:v>
      </x:c>
      <x:c r="K122" s="89" t="str">
        <x:v>show_sc_co_029</x:v>
      </x:c>
      <x:c r="L122" s="89" t="str">
        <x:v>company/employees/detail</x:v>
      </x:c>
      <x:c r="M122" s="89" t="str">
        <x:v>必要</x:v>
      </x:c>
      <x:c r="N122" s="89" t="str">
        <x:v>ROLE_COMPANY_MEMBER</x:v>
      </x:c>
      <x:c r="O122" s="89" t="str">
        <x:v>同画面を表示</x:v>
      </x:c>
      <x:c r="P122" s="89" t="str">
        <x:v>権限エラーは /error/access、データなしは404画面</x:v>
      </x:c>
      <x:c r="Q122" s="89" t="str">
        <x:v>×</x:v>
      </x:c>
      <x:c r="R122" s="89" t="str">
        <x:v>第3段階</x:v>
      </x:c>
      <x:c r="S122" s="90" t="str">
        <x:v>画面一覧のURL案を基に作成</x:v>
      </x:c>
    </x:row>
    <x:row r="123" ht="42" customHeight="1">
      <x:c r="A123" s="79" t="n">
        <x:v>120</x:v>
      </x:c>
      <x:c r="B123" s="80" t="str">
        <x:v>RT-0120</x:v>
      </x:c>
      <x:c r="C123" s="80" t="str">
        <x:v>SC-CO-030</x:v>
      </x:c>
      <x:c r="D123" s="80" t="str">
        <x:v>企業</x:v>
      </x:c>
      <x:c r="E123" s="80" t="str">
        <x:v>従業員管理</x:v>
      </x:c>
      <x:c r="F123" s="80" t="str">
        <x:v>部署・所属管理</x:v>
      </x:c>
      <x:c r="G123" s="80" t="str">
        <x:v>画面表示</x:v>
      </x:c>
      <x:c r="H123" s="80" t="str">
        <x:v>GET</x:v>
      </x:c>
      <x:c r="I123" s="80" t="str">
        <x:v>/company/departments</x:v>
      </x:c>
      <x:c r="J123" s="80" t="str">
        <x:v>CompanyDepartmentController</x:v>
      </x:c>
      <x:c r="K123" s="80" t="str">
        <x:v>show_sc_co_030</x:v>
      </x:c>
      <x:c r="L123" s="80" t="str">
        <x:v>company/departments</x:v>
      </x:c>
      <x:c r="M123" s="80" t="str">
        <x:v>必要</x:v>
      </x:c>
      <x:c r="N123" s="80" t="str">
        <x:v>ROLE_COMPANY_MEMBER</x:v>
      </x:c>
      <x:c r="O123" s="80" t="str">
        <x:v>同画面を表示</x:v>
      </x:c>
      <x:c r="P123" s="80" t="str">
        <x:v>権限エラーは /error/access、データなしは404画面</x:v>
      </x:c>
      <x:c r="Q123" s="80" t="str">
        <x:v>×</x:v>
      </x:c>
      <x:c r="R123" s="80" t="str">
        <x:v>第3段階</x:v>
      </x:c>
      <x:c r="S123" s="81" t="str">
        <x:v>画面一覧のURL案を基に作成</x:v>
      </x:c>
    </x:row>
    <x:row r="124" ht="42" customHeight="1">
      <x:c r="A124" s="88" t="n">
        <x:v>121</x:v>
      </x:c>
      <x:c r="B124" s="89" t="str">
        <x:v>RT-0121</x:v>
      </x:c>
      <x:c r="C124" s="89" t="str">
        <x:v>SC-CO-030</x:v>
      </x:c>
      <x:c r="D124" s="89" t="str">
        <x:v>企業</x:v>
      </x:c>
      <x:c r="E124" s="89" t="str">
        <x:v>従業員管理</x:v>
      </x:c>
      <x:c r="F124" s="89" t="str">
        <x:v>部署・所属管理</x:v>
      </x:c>
      <x:c r="G124" s="89" t="str">
        <x:v>登録・更新</x:v>
      </x:c>
      <x:c r="H124" s="89" t="str">
        <x:v>POST</x:v>
      </x:c>
      <x:c r="I124" s="89" t="str">
        <x:v>/company/departments</x:v>
      </x:c>
      <x:c r="J124" s="89" t="str">
        <x:v>CompanyDepartmentController</x:v>
      </x:c>
      <x:c r="K124" s="89" t="str">
        <x:v>save_sc_co_030</x:v>
      </x:c>
      <x:c r="L124" s="89" t="str">
        <x:v>redirect またはファイルレスポンス</x:v>
      </x:c>
      <x:c r="M124" s="89" t="str">
        <x:v>必要</x:v>
      </x:c>
      <x:c r="N124" s="89" t="str">
        <x:v>ROLE_COMPANY_MEMBER</x:v>
      </x:c>
      <x:c r="O124" s="89" t="str">
        <x:v>同画面へ</x:v>
      </x:c>
      <x:c r="P124" s="89" t="str">
        <x:v>入力エラーは元画面へ戻す。業務エラーはメッセージ表示</x:v>
      </x:c>
      <x:c r="Q124" s="89" t="str">
        <x:v>×</x:v>
      </x:c>
      <x:c r="R124" s="89" t="str">
        <x:v>第3段階</x:v>
      </x:c>
      <x:c r="S124" s="90" t="str">
        <x:v>POSTはCSRF有効。更新処理はService層で権限・所有者を再確認</x:v>
      </x:c>
    </x:row>
    <x:row r="125" ht="42" customHeight="1">
      <x:c r="A125" s="79" t="n">
        <x:v>122</x:v>
      </x:c>
      <x:c r="B125" s="80" t="str">
        <x:v>RT-0122</x:v>
      </x:c>
      <x:c r="C125" s="80" t="str">
        <x:v>SC-CO-031</x:v>
      </x:c>
      <x:c r="D125" s="80" t="str">
        <x:v>企業</x:v>
      </x:c>
      <x:c r="E125" s="80" t="str">
        <x:v>従業員管理</x:v>
      </x:c>
      <x:c r="F125" s="80" t="str">
        <x:v>雇用契約管理</x:v>
      </x:c>
      <x:c r="G125" s="80" t="str">
        <x:v>画面表示</x:v>
      </x:c>
      <x:c r="H125" s="80" t="str">
        <x:v>GET</x:v>
      </x:c>
      <x:c r="I125" s="80" t="str">
        <x:v>/company/employees/{employeeId}/contracts</x:v>
      </x:c>
      <x:c r="J125" s="80" t="str">
        <x:v>CompanyEmployeeController</x:v>
      </x:c>
      <x:c r="K125" s="80" t="str">
        <x:v>show_sc_co_031</x:v>
      </x:c>
      <x:c r="L125" s="80" t="str">
        <x:v>company/employees/contracts</x:v>
      </x:c>
      <x:c r="M125" s="80" t="str">
        <x:v>必要</x:v>
      </x:c>
      <x:c r="N125" s="80" t="str">
        <x:v>ROLE_COMPANY_MEMBER</x:v>
      </x:c>
      <x:c r="O125" s="80" t="str">
        <x:v>同画面を表示</x:v>
      </x:c>
      <x:c r="P125" s="80" t="str">
        <x:v>権限エラーは /error/access、データなしは404画面</x:v>
      </x:c>
      <x:c r="Q125" s="80" t="str">
        <x:v>×</x:v>
      </x:c>
      <x:c r="R125" s="80" t="str">
        <x:v>第3段階</x:v>
      </x:c>
      <x:c r="S125" s="81" t="str">
        <x:v>画面一覧のURL案を基に作成</x:v>
      </x:c>
    </x:row>
    <x:row r="126" ht="42" customHeight="1">
      <x:c r="A126" s="88" t="n">
        <x:v>123</x:v>
      </x:c>
      <x:c r="B126" s="89" t="str">
        <x:v>RT-0123</x:v>
      </x:c>
      <x:c r="C126" s="89" t="str">
        <x:v>SC-CO-031</x:v>
      </x:c>
      <x:c r="D126" s="89" t="str">
        <x:v>企業</x:v>
      </x:c>
      <x:c r="E126" s="89" t="str">
        <x:v>従業員管理</x:v>
      </x:c>
      <x:c r="F126" s="89" t="str">
        <x:v>雇用契約管理</x:v>
      </x:c>
      <x:c r="G126" s="89" t="str">
        <x:v>登録・更新</x:v>
      </x:c>
      <x:c r="H126" s="89" t="str">
        <x:v>POST</x:v>
      </x:c>
      <x:c r="I126" s="89" t="str">
        <x:v>/company/employees/{employeeId}/contracts</x:v>
      </x:c>
      <x:c r="J126" s="89" t="str">
        <x:v>CompanyEmployeeController</x:v>
      </x:c>
      <x:c r="K126" s="89" t="str">
        <x:v>save_sc_co_031</x:v>
      </x:c>
      <x:c r="L126" s="89" t="str">
        <x:v>redirect またはファイルレスポンス</x:v>
      </x:c>
      <x:c r="M126" s="89" t="str">
        <x:v>必要</x:v>
      </x:c>
      <x:c r="N126" s="89" t="str">
        <x:v>ROLE_COMPANY_MEMBER</x:v>
      </x:c>
      <x:c r="O126" s="89" t="str">
        <x:v>同画面へ</x:v>
      </x:c>
      <x:c r="P126" s="89" t="str">
        <x:v>入力エラーは元画面へ戻す。業務エラーはメッセージ表示</x:v>
      </x:c>
      <x:c r="Q126" s="89" t="str">
        <x:v>×</x:v>
      </x:c>
      <x:c r="R126" s="89" t="str">
        <x:v>第3段階</x:v>
      </x:c>
      <x:c r="S126" s="90" t="str">
        <x:v>POSTはCSRF有効。更新処理はService層で権限・所有者を再確認</x:v>
      </x:c>
    </x:row>
    <x:row r="127" ht="42" customHeight="1">
      <x:c r="A127" s="79" t="n">
        <x:v>124</x:v>
      </x:c>
      <x:c r="B127" s="80" t="str">
        <x:v>RT-0124</x:v>
      </x:c>
      <x:c r="C127" s="80" t="str">
        <x:v>SC-CO-032</x:v>
      </x:c>
      <x:c r="D127" s="80" t="str">
        <x:v>企業</x:v>
      </x:c>
      <x:c r="E127" s="80" t="str">
        <x:v>従業員管理</x:v>
      </x:c>
      <x:c r="F127" s="80" t="str">
        <x:v>従業員書類管理</x:v>
      </x:c>
      <x:c r="G127" s="80" t="str">
        <x:v>画面表示</x:v>
      </x:c>
      <x:c r="H127" s="80" t="str">
        <x:v>GET</x:v>
      </x:c>
      <x:c r="I127" s="80" t="str">
        <x:v>/company/employees/{employeeId}/documents</x:v>
      </x:c>
      <x:c r="J127" s="80" t="str">
        <x:v>CompanyEmployeeController</x:v>
      </x:c>
      <x:c r="K127" s="80" t="str">
        <x:v>show_sc_co_032</x:v>
      </x:c>
      <x:c r="L127" s="80" t="str">
        <x:v>company/employees/documents</x:v>
      </x:c>
      <x:c r="M127" s="80" t="str">
        <x:v>必要</x:v>
      </x:c>
      <x:c r="N127" s="80" t="str">
        <x:v>ROLE_COMPANY_MEMBER</x:v>
      </x:c>
      <x:c r="O127" s="80" t="str">
        <x:v>同画面を表示</x:v>
      </x:c>
      <x:c r="P127" s="80" t="str">
        <x:v>権限エラーは /error/access、データなしは404画面</x:v>
      </x:c>
      <x:c r="Q127" s="80" t="str">
        <x:v>×</x:v>
      </x:c>
      <x:c r="R127" s="80" t="str">
        <x:v>第3段階</x:v>
      </x:c>
      <x:c r="S127" s="81" t="str">
        <x:v>画面一覧のURL案を基に作成</x:v>
      </x:c>
    </x:row>
    <x:row r="128" ht="42" customHeight="1">
      <x:c r="A128" s="88" t="n">
        <x:v>125</x:v>
      </x:c>
      <x:c r="B128" s="89" t="str">
        <x:v>RT-0125</x:v>
      </x:c>
      <x:c r="C128" s="89" t="str">
        <x:v>SC-CO-032</x:v>
      </x:c>
      <x:c r="D128" s="89" t="str">
        <x:v>企業</x:v>
      </x:c>
      <x:c r="E128" s="89" t="str">
        <x:v>従業員管理</x:v>
      </x:c>
      <x:c r="F128" s="89" t="str">
        <x:v>従業員書類管理</x:v>
      </x:c>
      <x:c r="G128" s="89" t="str">
        <x:v>アップロード</x:v>
      </x:c>
      <x:c r="H128" s="89" t="str">
        <x:v>POST</x:v>
      </x:c>
      <x:c r="I128" s="89" t="str">
        <x:v>/company/employees/{employeeId}/documents</x:v>
      </x:c>
      <x:c r="J128" s="89" t="str">
        <x:v>CompanyEmployeeController</x:v>
      </x:c>
      <x:c r="K128" s="89" t="str">
        <x:v>upload_sc_co_032</x:v>
      </x:c>
      <x:c r="L128" s="89" t="str">
        <x:v>redirect またはファイルレスポンス</x:v>
      </x:c>
      <x:c r="M128" s="89" t="str">
        <x:v>必要</x:v>
      </x:c>
      <x:c r="N128" s="89" t="str">
        <x:v>ROLE_COMPANY_MEMBER</x:v>
      </x:c>
      <x:c r="O128" s="89" t="str">
        <x:v>同画面へ</x:v>
      </x:c>
      <x:c r="P128" s="89" t="str">
        <x:v>入力エラーは元画面へ戻す。業務エラーはメッセージ表示</x:v>
      </x:c>
      <x:c r="Q128" s="89" t="str">
        <x:v>×</x:v>
      </x:c>
      <x:c r="R128" s="89" t="str">
        <x:v>第3段階</x:v>
      </x:c>
      <x:c r="S128" s="90" t="str">
        <x:v>POSTはCSRF有効。更新処理はService層で権限・所有者を再確認</x:v>
      </x:c>
    </x:row>
    <x:row r="129" ht="42" customHeight="1">
      <x:c r="A129" s="79" t="n">
        <x:v>126</x:v>
      </x:c>
      <x:c r="B129" s="80" t="str">
        <x:v>RT-0126</x:v>
      </x:c>
      <x:c r="C129" s="80" t="str">
        <x:v>SC-CO-033</x:v>
      </x:c>
      <x:c r="D129" s="80" t="str">
        <x:v>企業</x:v>
      </x:c>
      <x:c r="E129" s="80" t="str">
        <x:v>従業員管理</x:v>
      </x:c>
      <x:c r="F129" s="80" t="str">
        <x:v>休職・退職登録</x:v>
      </x:c>
      <x:c r="G129" s="80" t="str">
        <x:v>画面表示</x:v>
      </x:c>
      <x:c r="H129" s="80" t="str">
        <x:v>GET</x:v>
      </x:c>
      <x:c r="I129" s="80" t="str">
        <x:v>/company/employees/{employeeId}/status</x:v>
      </x:c>
      <x:c r="J129" s="80" t="str">
        <x:v>CompanyEmployeeController</x:v>
      </x:c>
      <x:c r="K129" s="80" t="str">
        <x:v>show_sc_co_033</x:v>
      </x:c>
      <x:c r="L129" s="80" t="str">
        <x:v>company/employees/status</x:v>
      </x:c>
      <x:c r="M129" s="80" t="str">
        <x:v>必要</x:v>
      </x:c>
      <x:c r="N129" s="80" t="str">
        <x:v>ROLE_COMPANY_MEMBER</x:v>
      </x:c>
      <x:c r="O129" s="80" t="str">
        <x:v>同画面を表示</x:v>
      </x:c>
      <x:c r="P129" s="80" t="str">
        <x:v>権限エラーは /error/access、データなしは404画面</x:v>
      </x:c>
      <x:c r="Q129" s="80" t="str">
        <x:v>×</x:v>
      </x:c>
      <x:c r="R129" s="80" t="str">
        <x:v>第3段階</x:v>
      </x:c>
      <x:c r="S129" s="81" t="str">
        <x:v>画面一覧のURL案を基に作成</x:v>
      </x:c>
    </x:row>
    <x:row r="130" ht="42" customHeight="1">
      <x:c r="A130" s="88" t="n">
        <x:v>127</x:v>
      </x:c>
      <x:c r="B130" s="89" t="str">
        <x:v>RT-0127</x:v>
      </x:c>
      <x:c r="C130" s="89" t="str">
        <x:v>SC-CO-033</x:v>
      </x:c>
      <x:c r="D130" s="89" t="str">
        <x:v>企業</x:v>
      </x:c>
      <x:c r="E130" s="89" t="str">
        <x:v>従業員管理</x:v>
      </x:c>
      <x:c r="F130" s="89" t="str">
        <x:v>休職・退職登録</x:v>
      </x:c>
      <x:c r="G130" s="89" t="str">
        <x:v>状態変更</x:v>
      </x:c>
      <x:c r="H130" s="89" t="str">
        <x:v>POST</x:v>
      </x:c>
      <x:c r="I130" s="89" t="str">
        <x:v>/company/employees/{employeeId}/status</x:v>
      </x:c>
      <x:c r="J130" s="89" t="str">
        <x:v>CompanyEmployeeController</x:v>
      </x:c>
      <x:c r="K130" s="89" t="str">
        <x:v>updateStatus_sc_co_033</x:v>
      </x:c>
      <x:c r="L130" s="89" t="str">
        <x:v>redirect またはファイルレスポンス</x:v>
      </x:c>
      <x:c r="M130" s="89" t="str">
        <x:v>必要</x:v>
      </x:c>
      <x:c r="N130" s="89" t="str">
        <x:v>ROLE_COMPANY_MEMBER</x:v>
      </x:c>
      <x:c r="O130" s="89" t="str">
        <x:v>従業員詳細へ</x:v>
      </x:c>
      <x:c r="P130" s="89" t="str">
        <x:v>入力エラーは元画面へ戻す。業務エラーはメッセージ表示</x:v>
      </x:c>
      <x:c r="Q130" s="89" t="str">
        <x:v>×</x:v>
      </x:c>
      <x:c r="R130" s="89" t="str">
        <x:v>第3段階</x:v>
      </x:c>
      <x:c r="S130" s="90" t="str">
        <x:v>POSTはCSRF有効。更新処理はService層で権限・所有者を再確認</x:v>
      </x:c>
    </x:row>
    <x:row r="131" ht="42" customHeight="1">
      <x:c r="A131" s="79" t="n">
        <x:v>128</x:v>
      </x:c>
      <x:c r="B131" s="80" t="str">
        <x:v>RT-0128</x:v>
      </x:c>
      <x:c r="C131" s="80" t="str">
        <x:v>SC-CO-034</x:v>
      </x:c>
      <x:c r="D131" s="80" t="str">
        <x:v>企業</x:v>
      </x:c>
      <x:c r="E131" s="80" t="str">
        <x:v>勤怠</x:v>
      </x:c>
      <x:c r="F131" s="80" t="str">
        <x:v>勤怠管理ダッシュボード</x:v>
      </x:c>
      <x:c r="G131" s="80" t="str">
        <x:v>画面表示</x:v>
      </x:c>
      <x:c r="H131" s="80" t="str">
        <x:v>GET</x:v>
      </x:c>
      <x:c r="I131" s="80" t="str">
        <x:v>/company/attendance</x:v>
      </x:c>
      <x:c r="J131" s="80" t="str">
        <x:v>CompanyAttendanceController</x:v>
      </x:c>
      <x:c r="K131" s="80" t="str">
        <x:v>show_sc_co_034</x:v>
      </x:c>
      <x:c r="L131" s="80" t="str">
        <x:v>company/attendance</x:v>
      </x:c>
      <x:c r="M131" s="80" t="str">
        <x:v>必要</x:v>
      </x:c>
      <x:c r="N131" s="80" t="str">
        <x:v>ROLE_COMPANY_MEMBER</x:v>
      </x:c>
      <x:c r="O131" s="80" t="str">
        <x:v>同画面を表示</x:v>
      </x:c>
      <x:c r="P131" s="80" t="str">
        <x:v>権限エラーは /error/access、データなしは404画面</x:v>
      </x:c>
      <x:c r="Q131" s="80" t="str">
        <x:v>×</x:v>
      </x:c>
      <x:c r="R131" s="80" t="str">
        <x:v>第4段階</x:v>
      </x:c>
      <x:c r="S131" s="81" t="str">
        <x:v>画面一覧のURL案を基に作成</x:v>
      </x:c>
    </x:row>
    <x:row r="132" ht="42" customHeight="1">
      <x:c r="A132" s="88" t="n">
        <x:v>129</x:v>
      </x:c>
      <x:c r="B132" s="89" t="str">
        <x:v>RT-0129</x:v>
      </x:c>
      <x:c r="C132" s="89" t="str">
        <x:v>SC-CO-035</x:v>
      </x:c>
      <x:c r="D132" s="89" t="str">
        <x:v>企業</x:v>
      </x:c>
      <x:c r="E132" s="89" t="str">
        <x:v>勤怠</x:v>
      </x:c>
      <x:c r="F132" s="89" t="str">
        <x:v>日別勤怠一覧</x:v>
      </x:c>
      <x:c r="G132" s="89" t="str">
        <x:v>画面表示</x:v>
      </x:c>
      <x:c r="H132" s="89" t="str">
        <x:v>GET</x:v>
      </x:c>
      <x:c r="I132" s="89" t="str">
        <x:v>/company/attendance/daily</x:v>
      </x:c>
      <x:c r="J132" s="89" t="str">
        <x:v>CompanyAttendanceController</x:v>
      </x:c>
      <x:c r="K132" s="89" t="str">
        <x:v>show_sc_co_035</x:v>
      </x:c>
      <x:c r="L132" s="89" t="str">
        <x:v>company/attendance/daily</x:v>
      </x:c>
      <x:c r="M132" s="89" t="str">
        <x:v>必要</x:v>
      </x:c>
      <x:c r="N132" s="89" t="str">
        <x:v>ROLE_COMPANY_MEMBER</x:v>
      </x:c>
      <x:c r="O132" s="89" t="str">
        <x:v>同画面を表示</x:v>
      </x:c>
      <x:c r="P132" s="89" t="str">
        <x:v>権限エラーは /error/access、データなしは404画面</x:v>
      </x:c>
      <x:c r="Q132" s="89" t="str">
        <x:v>×</x:v>
      </x:c>
      <x:c r="R132" s="89" t="str">
        <x:v>第4段階</x:v>
      </x:c>
      <x:c r="S132" s="90" t="str">
        <x:v>画面一覧のURL案を基に作成</x:v>
      </x:c>
    </x:row>
    <x:row r="133" ht="42" customHeight="1">
      <x:c r="A133" s="79" t="n">
        <x:v>130</x:v>
      </x:c>
      <x:c r="B133" s="80" t="str">
        <x:v>RT-0130</x:v>
      </x:c>
      <x:c r="C133" s="80" t="str">
        <x:v>SC-CO-036</x:v>
      </x:c>
      <x:c r="D133" s="80" t="str">
        <x:v>企業</x:v>
      </x:c>
      <x:c r="E133" s="80" t="str">
        <x:v>勤怠</x:v>
      </x:c>
      <x:c r="F133" s="80" t="str">
        <x:v>シフト管理</x:v>
      </x:c>
      <x:c r="G133" s="80" t="str">
        <x:v>画面表示</x:v>
      </x:c>
      <x:c r="H133" s="80" t="str">
        <x:v>GET</x:v>
      </x:c>
      <x:c r="I133" s="80" t="str">
        <x:v>/company/shifts</x:v>
      </x:c>
      <x:c r="J133" s="80" t="str">
        <x:v>CompanyShiftController</x:v>
      </x:c>
      <x:c r="K133" s="80" t="str">
        <x:v>show_sc_co_036</x:v>
      </x:c>
      <x:c r="L133" s="80" t="str">
        <x:v>company/shifts</x:v>
      </x:c>
      <x:c r="M133" s="80" t="str">
        <x:v>必要</x:v>
      </x:c>
      <x:c r="N133" s="80" t="str">
        <x:v>ROLE_COMPANY_MEMBER</x:v>
      </x:c>
      <x:c r="O133" s="80" t="str">
        <x:v>同画面を表示</x:v>
      </x:c>
      <x:c r="P133" s="80" t="str">
        <x:v>権限エラーは /error/access、データなしは404画面</x:v>
      </x:c>
      <x:c r="Q133" s="80" t="str">
        <x:v>×</x:v>
      </x:c>
      <x:c r="R133" s="80" t="str">
        <x:v>第4段階</x:v>
      </x:c>
      <x:c r="S133" s="81" t="str">
        <x:v>画面一覧のURL案を基に作成</x:v>
      </x:c>
    </x:row>
    <x:row r="134" ht="42" customHeight="1">
      <x:c r="A134" s="88" t="n">
        <x:v>131</x:v>
      </x:c>
      <x:c r="B134" s="89" t="str">
        <x:v>RT-0131</x:v>
      </x:c>
      <x:c r="C134" s="89" t="str">
        <x:v>SC-CO-036</x:v>
      </x:c>
      <x:c r="D134" s="89" t="str">
        <x:v>企業</x:v>
      </x:c>
      <x:c r="E134" s="89" t="str">
        <x:v>勤怠</x:v>
      </x:c>
      <x:c r="F134" s="89" t="str">
        <x:v>シフト管理</x:v>
      </x:c>
      <x:c r="G134" s="89" t="str">
        <x:v>登録・更新</x:v>
      </x:c>
      <x:c r="H134" s="89" t="str">
        <x:v>POST</x:v>
      </x:c>
      <x:c r="I134" s="89" t="str">
        <x:v>/company/shifts</x:v>
      </x:c>
      <x:c r="J134" s="89" t="str">
        <x:v>CompanyShiftController</x:v>
      </x:c>
      <x:c r="K134" s="89" t="str">
        <x:v>save_sc_co_036</x:v>
      </x:c>
      <x:c r="L134" s="89" t="str">
        <x:v>redirect またはファイルレスポンス</x:v>
      </x:c>
      <x:c r="M134" s="89" t="str">
        <x:v>必要</x:v>
      </x:c>
      <x:c r="N134" s="89" t="str">
        <x:v>ROLE_COMPANY_MEMBER</x:v>
      </x:c>
      <x:c r="O134" s="89" t="str">
        <x:v>同画面へ</x:v>
      </x:c>
      <x:c r="P134" s="89" t="str">
        <x:v>入力エラーは元画面へ戻す。業務エラーはメッセージ表示</x:v>
      </x:c>
      <x:c r="Q134" s="89" t="str">
        <x:v>×</x:v>
      </x:c>
      <x:c r="R134" s="89" t="str">
        <x:v>第4段階</x:v>
      </x:c>
      <x:c r="S134" s="90" t="str">
        <x:v>POSTはCSRF有効。更新処理はService層で権限・所有者を再確認</x:v>
      </x:c>
    </x:row>
    <x:row r="135" ht="42" customHeight="1">
      <x:c r="A135" s="79" t="n">
        <x:v>132</x:v>
      </x:c>
      <x:c r="B135" s="80" t="str">
        <x:v>RT-0132</x:v>
      </x:c>
      <x:c r="C135" s="80" t="str">
        <x:v>SC-CO-037</x:v>
      </x:c>
      <x:c r="D135" s="80" t="str">
        <x:v>企業</x:v>
      </x:c>
      <x:c r="E135" s="80" t="str">
        <x:v>勤怠</x:v>
      </x:c>
      <x:c r="F135" s="80" t="str">
        <x:v>休暇申請承認</x:v>
      </x:c>
      <x:c r="G135" s="80" t="str">
        <x:v>画面表示</x:v>
      </x:c>
      <x:c r="H135" s="80" t="str">
        <x:v>GET</x:v>
      </x:c>
      <x:c r="I135" s="80" t="str">
        <x:v>/company/leave-requests</x:v>
      </x:c>
      <x:c r="J135" s="80" t="str">
        <x:v>CompanyLeaveRequestController</x:v>
      </x:c>
      <x:c r="K135" s="80" t="str">
        <x:v>show_sc_co_037</x:v>
      </x:c>
      <x:c r="L135" s="80" t="str">
        <x:v>company/leave-requests</x:v>
      </x:c>
      <x:c r="M135" s="80" t="str">
        <x:v>必要</x:v>
      </x:c>
      <x:c r="N135" s="80" t="str">
        <x:v>ROLE_COMPANY_MEMBER</x:v>
      </x:c>
      <x:c r="O135" s="80" t="str">
        <x:v>同画面を表示</x:v>
      </x:c>
      <x:c r="P135" s="80" t="str">
        <x:v>権限エラーは /error/access、データなしは404画面</x:v>
      </x:c>
      <x:c r="Q135" s="80" t="str">
        <x:v>×</x:v>
      </x:c>
      <x:c r="R135" s="80" t="str">
        <x:v>第4段階</x:v>
      </x:c>
      <x:c r="S135" s="81" t="str">
        <x:v>画面一覧のURL案を基に作成</x:v>
      </x:c>
    </x:row>
    <x:row r="136" ht="42" customHeight="1">
      <x:c r="A136" s="88" t="n">
        <x:v>133</x:v>
      </x:c>
      <x:c r="B136" s="89" t="str">
        <x:v>RT-0133</x:v>
      </x:c>
      <x:c r="C136" s="89" t="str">
        <x:v>SC-CO-037</x:v>
      </x:c>
      <x:c r="D136" s="89" t="str">
        <x:v>企業</x:v>
      </x:c>
      <x:c r="E136" s="89" t="str">
        <x:v>勤怠</x:v>
      </x:c>
      <x:c r="F136" s="89" t="str">
        <x:v>休暇申請承認</x:v>
      </x:c>
      <x:c r="G136" s="89" t="str">
        <x:v>承認・却下</x:v>
      </x:c>
      <x:c r="H136" s="89" t="str">
        <x:v>POST</x:v>
      </x:c>
      <x:c r="I136" s="89" t="str">
        <x:v>/company/leave-requests/{requestId}/decision</x:v>
      </x:c>
      <x:c r="J136" s="89" t="str">
        <x:v>CompanyLeaveRequestController</x:v>
      </x:c>
      <x:c r="K136" s="89" t="str">
        <x:v>decide_sc_co_037</x:v>
      </x:c>
      <x:c r="L136" s="89" t="str">
        <x:v>redirect またはファイルレスポンス</x:v>
      </x:c>
      <x:c r="M136" s="89" t="str">
        <x:v>必要</x:v>
      </x:c>
      <x:c r="N136" s="89" t="str">
        <x:v>ROLE_COMPANY_MEMBER</x:v>
      </x:c>
      <x:c r="O136" s="89" t="str">
        <x:v>同画面へ</x:v>
      </x:c>
      <x:c r="P136" s="89" t="str">
        <x:v>入力エラーは元画面へ戻す。業務エラーはメッセージ表示</x:v>
      </x:c>
      <x:c r="Q136" s="89" t="str">
        <x:v>×</x:v>
      </x:c>
      <x:c r="R136" s="89" t="str">
        <x:v>第4段階</x:v>
      </x:c>
      <x:c r="S136" s="90" t="str">
        <x:v>POSTはCSRF有効。更新処理はService層で権限・所有者を再確認</x:v>
      </x:c>
    </x:row>
    <x:row r="137" ht="42" customHeight="1">
      <x:c r="A137" s="79" t="n">
        <x:v>134</x:v>
      </x:c>
      <x:c r="B137" s="80" t="str">
        <x:v>RT-0134</x:v>
      </x:c>
      <x:c r="C137" s="80" t="str">
        <x:v>SC-CO-038</x:v>
      </x:c>
      <x:c r="D137" s="80" t="str">
        <x:v>企業</x:v>
      </x:c>
      <x:c r="E137" s="80" t="str">
        <x:v>勤怠</x:v>
      </x:c>
      <x:c r="F137" s="80" t="str">
        <x:v>勤怠修正申請承認</x:v>
      </x:c>
      <x:c r="G137" s="80" t="str">
        <x:v>画面表示</x:v>
      </x:c>
      <x:c r="H137" s="80" t="str">
        <x:v>GET</x:v>
      </x:c>
      <x:c r="I137" s="80" t="str">
        <x:v>/company/attendance/corrections</x:v>
      </x:c>
      <x:c r="J137" s="80" t="str">
        <x:v>CompanyAttendanceController</x:v>
      </x:c>
      <x:c r="K137" s="80" t="str">
        <x:v>show_sc_co_038</x:v>
      </x:c>
      <x:c r="L137" s="80" t="str">
        <x:v>company/attendance/corrections</x:v>
      </x:c>
      <x:c r="M137" s="80" t="str">
        <x:v>必要</x:v>
      </x:c>
      <x:c r="N137" s="80" t="str">
        <x:v>ROLE_COMPANY_MEMBER</x:v>
      </x:c>
      <x:c r="O137" s="80" t="str">
        <x:v>同画面を表示</x:v>
      </x:c>
      <x:c r="P137" s="80" t="str">
        <x:v>権限エラーは /error/access、データなしは404画面</x:v>
      </x:c>
      <x:c r="Q137" s="80" t="str">
        <x:v>×</x:v>
      </x:c>
      <x:c r="R137" s="80" t="str">
        <x:v>第4段階</x:v>
      </x:c>
      <x:c r="S137" s="81" t="str">
        <x:v>画面一覧のURL案を基に作成</x:v>
      </x:c>
    </x:row>
    <x:row r="138" ht="42" customHeight="1">
      <x:c r="A138" s="88" t="n">
        <x:v>135</x:v>
      </x:c>
      <x:c r="B138" s="89" t="str">
        <x:v>RT-0135</x:v>
      </x:c>
      <x:c r="C138" s="89" t="str">
        <x:v>SC-CO-038</x:v>
      </x:c>
      <x:c r="D138" s="89" t="str">
        <x:v>企業</x:v>
      </x:c>
      <x:c r="E138" s="89" t="str">
        <x:v>勤怠</x:v>
      </x:c>
      <x:c r="F138" s="89" t="str">
        <x:v>勤怠修正申請承認</x:v>
      </x:c>
      <x:c r="G138" s="89" t="str">
        <x:v>承認・却下</x:v>
      </x:c>
      <x:c r="H138" s="89" t="str">
        <x:v>POST</x:v>
      </x:c>
      <x:c r="I138" s="89" t="str">
        <x:v>/company/attendance/corrections/{requestId}/decision</x:v>
      </x:c>
      <x:c r="J138" s="89" t="str">
        <x:v>CompanyAttendanceController</x:v>
      </x:c>
      <x:c r="K138" s="89" t="str">
        <x:v>decide_sc_co_038</x:v>
      </x:c>
      <x:c r="L138" s="89" t="str">
        <x:v>redirect またはファイルレスポンス</x:v>
      </x:c>
      <x:c r="M138" s="89" t="str">
        <x:v>必要</x:v>
      </x:c>
      <x:c r="N138" s="89" t="str">
        <x:v>ROLE_COMPANY_MEMBER</x:v>
      </x:c>
      <x:c r="O138" s="89" t="str">
        <x:v>同画面へ</x:v>
      </x:c>
      <x:c r="P138" s="89" t="str">
        <x:v>入力エラーは元画面へ戻す。業務エラーはメッセージ表示</x:v>
      </x:c>
      <x:c r="Q138" s="89" t="str">
        <x:v>×</x:v>
      </x:c>
      <x:c r="R138" s="89" t="str">
        <x:v>第4段階</x:v>
      </x:c>
      <x:c r="S138" s="90" t="str">
        <x:v>POSTはCSRF有効。更新処理はService層で権限・所有者を再確認</x:v>
      </x:c>
    </x:row>
    <x:row r="139" ht="42" customHeight="1">
      <x:c r="A139" s="79" t="n">
        <x:v>136</x:v>
      </x:c>
      <x:c r="B139" s="80" t="str">
        <x:v>RT-0136</x:v>
      </x:c>
      <x:c r="C139" s="80" t="str">
        <x:v>SC-CO-039</x:v>
      </x:c>
      <x:c r="D139" s="80" t="str">
        <x:v>企業</x:v>
      </x:c>
      <x:c r="E139" s="80" t="str">
        <x:v>勤怠</x:v>
      </x:c>
      <x:c r="F139" s="80" t="str">
        <x:v>月次勤怠締め</x:v>
      </x:c>
      <x:c r="G139" s="80" t="str">
        <x:v>画面表示</x:v>
      </x:c>
      <x:c r="H139" s="80" t="str">
        <x:v>GET</x:v>
      </x:c>
      <x:c r="I139" s="80" t="str">
        <x:v>/company/attendance/monthly-close</x:v>
      </x:c>
      <x:c r="J139" s="80" t="str">
        <x:v>CompanyAttendanceController</x:v>
      </x:c>
      <x:c r="K139" s="80" t="str">
        <x:v>show_sc_co_039</x:v>
      </x:c>
      <x:c r="L139" s="80" t="str">
        <x:v>company/attendance/monthly-close</x:v>
      </x:c>
      <x:c r="M139" s="80" t="str">
        <x:v>必要</x:v>
      </x:c>
      <x:c r="N139" s="80" t="str">
        <x:v>ROLE_COMPANY_MEMBER</x:v>
      </x:c>
      <x:c r="O139" s="80" t="str">
        <x:v>同画面を表示</x:v>
      </x:c>
      <x:c r="P139" s="80" t="str">
        <x:v>権限エラーは /error/access、データなしは404画面</x:v>
      </x:c>
      <x:c r="Q139" s="80" t="str">
        <x:v>×</x:v>
      </x:c>
      <x:c r="R139" s="80" t="str">
        <x:v>第4段階</x:v>
      </x:c>
      <x:c r="S139" s="81" t="str">
        <x:v>画面一覧のURL案を基に作成</x:v>
      </x:c>
    </x:row>
    <x:row r="140" ht="42" customHeight="1">
      <x:c r="A140" s="88" t="n">
        <x:v>137</x:v>
      </x:c>
      <x:c r="B140" s="89" t="str">
        <x:v>RT-0137</x:v>
      </x:c>
      <x:c r="C140" s="89" t="str">
        <x:v>SC-CO-039</x:v>
      </x:c>
      <x:c r="D140" s="89" t="str">
        <x:v>企業</x:v>
      </x:c>
      <x:c r="E140" s="89" t="str">
        <x:v>勤怠</x:v>
      </x:c>
      <x:c r="F140" s="89" t="str">
        <x:v>月次勤怠締め</x:v>
      </x:c>
      <x:c r="G140" s="89" t="str">
        <x:v>月次締め</x:v>
      </x:c>
      <x:c r="H140" s="89" t="str">
        <x:v>POST</x:v>
      </x:c>
      <x:c r="I140" s="89" t="str">
        <x:v>/company/attendance/monthly-close</x:v>
      </x:c>
      <x:c r="J140" s="89" t="str">
        <x:v>CompanyAttendanceController</x:v>
      </x:c>
      <x:c r="K140" s="89" t="str">
        <x:v>closeMonth_sc_co_039</x:v>
      </x:c>
      <x:c r="L140" s="89" t="str">
        <x:v>redirect またはファイルレスポンス</x:v>
      </x:c>
      <x:c r="M140" s="89" t="str">
        <x:v>必要</x:v>
      </x:c>
      <x:c r="N140" s="89" t="str">
        <x:v>ROLE_COMPANY_MEMBER</x:v>
      </x:c>
      <x:c r="O140" s="89" t="str">
        <x:v>同画面へ</x:v>
      </x:c>
      <x:c r="P140" s="89" t="str">
        <x:v>入力エラーは元画面へ戻す。業務エラーはメッセージ表示</x:v>
      </x:c>
      <x:c r="Q140" s="89" t="str">
        <x:v>×</x:v>
      </x:c>
      <x:c r="R140" s="89" t="str">
        <x:v>第4段階</x:v>
      </x:c>
      <x:c r="S140" s="90" t="str">
        <x:v>POSTはCSRF有効。更新処理はService層で権限・所有者を再確認</x:v>
      </x:c>
    </x:row>
    <x:row r="141" ht="42" customHeight="1">
      <x:c r="A141" s="79" t="n">
        <x:v>138</x:v>
      </x:c>
      <x:c r="B141" s="80" t="str">
        <x:v>RT-0138</x:v>
      </x:c>
      <x:c r="C141" s="80" t="str">
        <x:v>SC-CO-040</x:v>
      </x:c>
      <x:c r="D141" s="80" t="str">
        <x:v>企業</x:v>
      </x:c>
      <x:c r="E141" s="80" t="str">
        <x:v>勤怠</x:v>
      </x:c>
      <x:c r="F141" s="80" t="str">
        <x:v>勤怠データ出力</x:v>
      </x:c>
      <x:c r="G141" s="80" t="str">
        <x:v>画面表示</x:v>
      </x:c>
      <x:c r="H141" s="80" t="str">
        <x:v>GET</x:v>
      </x:c>
      <x:c r="I141" s="80" t="str">
        <x:v>/company/attendance/export</x:v>
      </x:c>
      <x:c r="J141" s="80" t="str">
        <x:v>CompanyAttendanceController</x:v>
      </x:c>
      <x:c r="K141" s="80" t="str">
        <x:v>show_sc_co_040</x:v>
      </x:c>
      <x:c r="L141" s="80" t="str">
        <x:v>company/attendance/export</x:v>
      </x:c>
      <x:c r="M141" s="80" t="str">
        <x:v>必要</x:v>
      </x:c>
      <x:c r="N141" s="80" t="str">
        <x:v>ROLE_COMPANY_MEMBER</x:v>
      </x:c>
      <x:c r="O141" s="80" t="str">
        <x:v>同画面を表示</x:v>
      </x:c>
      <x:c r="P141" s="80" t="str">
        <x:v>権限エラーは /error/access、データなしは404画面</x:v>
      </x:c>
      <x:c r="Q141" s="80" t="str">
        <x:v>×</x:v>
      </x:c>
      <x:c r="R141" s="80" t="str">
        <x:v>第4段階</x:v>
      </x:c>
      <x:c r="S141" s="81" t="str">
        <x:v>画面一覧のURL案を基に作成</x:v>
      </x:c>
    </x:row>
    <x:row r="142" ht="42" customHeight="1">
      <x:c r="A142" s="88" t="n">
        <x:v>139</x:v>
      </x:c>
      <x:c r="B142" s="89" t="str">
        <x:v>RT-0139</x:v>
      </x:c>
      <x:c r="C142" s="89" t="str">
        <x:v>SC-CO-040</x:v>
      </x:c>
      <x:c r="D142" s="89" t="str">
        <x:v>企業</x:v>
      </x:c>
      <x:c r="E142" s="89" t="str">
        <x:v>勤怠</x:v>
      </x:c>
      <x:c r="F142" s="89" t="str">
        <x:v>勤怠データ出力</x:v>
      </x:c>
      <x:c r="G142" s="89" t="str">
        <x:v>ファイル出力</x:v>
      </x:c>
      <x:c r="H142" s="89" t="str">
        <x:v>GET</x:v>
      </x:c>
      <x:c r="I142" s="89" t="str">
        <x:v>/company/attendance/export/download</x:v>
      </x:c>
      <x:c r="J142" s="89" t="str">
        <x:v>CompanyAttendanceController</x:v>
      </x:c>
      <x:c r="K142" s="89" t="str">
        <x:v>download_sc_co_040</x:v>
      </x:c>
      <x:c r="L142" s="89" t="str">
        <x:v>redirect またはファイルレスポンス</x:v>
      </x:c>
      <x:c r="M142" s="89" t="str">
        <x:v>必要</x:v>
      </x:c>
      <x:c r="N142" s="89" t="str">
        <x:v>ROLE_COMPANY_MEMBER</x:v>
      </x:c>
      <x:c r="O142" s="89" t="str">
        <x:v>ファイルを返却</x:v>
      </x:c>
      <x:c r="P142" s="89" t="str">
        <x:v>入力エラーは元画面へ戻す。業務エラーはメッセージ表示</x:v>
      </x:c>
      <x:c r="Q142" s="89" t="str">
        <x:v>×</x:v>
      </x:c>
      <x:c r="R142" s="89" t="str">
        <x:v>第4段階</x:v>
      </x:c>
      <x:c r="S142" s="90" t="str">
        <x:v>POSTはCSRF有効。更新処理はService層で権限・所有者を再確認</x:v>
      </x:c>
    </x:row>
    <x:row r="143" ht="42" customHeight="1">
      <x:c r="A143" s="79" t="n">
        <x:v>140</x:v>
      </x:c>
      <x:c r="B143" s="80" t="str">
        <x:v>RT-0140</x:v>
      </x:c>
      <x:c r="C143" s="80" t="str">
        <x:v>SC-CO-041</x:v>
      </x:c>
      <x:c r="D143" s="80" t="str">
        <x:v>企業</x:v>
      </x:c>
      <x:c r="E143" s="80" t="str">
        <x:v>通知</x:v>
      </x:c>
      <x:c r="F143" s="80" t="str">
        <x:v>企業通知一覧</x:v>
      </x:c>
      <x:c r="G143" s="80" t="str">
        <x:v>画面表示</x:v>
      </x:c>
      <x:c r="H143" s="80" t="str">
        <x:v>GET</x:v>
      </x:c>
      <x:c r="I143" s="80" t="str">
        <x:v>/company/notifications</x:v>
      </x:c>
      <x:c r="J143" s="80" t="str">
        <x:v>CompanyNotificationController</x:v>
      </x:c>
      <x:c r="K143" s="80" t="str">
        <x:v>show_sc_co_041</x:v>
      </x:c>
      <x:c r="L143" s="80" t="str">
        <x:v>company/notifications</x:v>
      </x:c>
      <x:c r="M143" s="80" t="str">
        <x:v>必要</x:v>
      </x:c>
      <x:c r="N143" s="80" t="str">
        <x:v>ROLE_COMPANY_MEMBER</x:v>
      </x:c>
      <x:c r="O143" s="80" t="str">
        <x:v>同画面を表示</x:v>
      </x:c>
      <x:c r="P143" s="80" t="str">
        <x:v>権限エラーは /error/access、データなしは404画面</x:v>
      </x:c>
      <x:c r="Q143" s="80" t="str">
        <x:v>〇</x:v>
      </x:c>
      <x:c r="R143" s="80" t="str">
        <x:v>第1段階</x:v>
      </x:c>
      <x:c r="S143" s="81" t="str">
        <x:v>画面一覧のURL案を基に作成</x:v>
      </x:c>
    </x:row>
    <x:row r="144" ht="42" customHeight="1">
      <x:c r="A144" s="88" t="n">
        <x:v>141</x:v>
      </x:c>
      <x:c r="B144" s="89" t="str">
        <x:v>RT-0141</x:v>
      </x:c>
      <x:c r="C144" s="89" t="str">
        <x:v>SC-CO-042</x:v>
      </x:c>
      <x:c r="D144" s="89" t="str">
        <x:v>企業</x:v>
      </x:c>
      <x:c r="E144" s="89" t="str">
        <x:v>料金・契約</x:v>
      </x:c>
      <x:c r="F144" s="89" t="str">
        <x:v>プラン・利用状況</x:v>
      </x:c>
      <x:c r="G144" s="89" t="str">
        <x:v>画面表示</x:v>
      </x:c>
      <x:c r="H144" s="89" t="str">
        <x:v>GET</x:v>
      </x:c>
      <x:c r="I144" s="89" t="str">
        <x:v>/company/billing/plan</x:v>
      </x:c>
      <x:c r="J144" s="89" t="str">
        <x:v>CompanyBillingController</x:v>
      </x:c>
      <x:c r="K144" s="89" t="str">
        <x:v>show_sc_co_042</x:v>
      </x:c>
      <x:c r="L144" s="89" t="str">
        <x:v>company/billing/plan</x:v>
      </x:c>
      <x:c r="M144" s="89" t="str">
        <x:v>必要</x:v>
      </x:c>
      <x:c r="N144" s="89" t="str">
        <x:v>ROLE_COMPANY_MEMBER</x:v>
      </x:c>
      <x:c r="O144" s="89" t="str">
        <x:v>同画面を表示</x:v>
      </x:c>
      <x:c r="P144" s="89" t="str">
        <x:v>権限エラーは /error/access、データなしは404画面</x:v>
      </x:c>
      <x:c r="Q144" s="89" t="str">
        <x:v>〇</x:v>
      </x:c>
      <x:c r="R144" s="89" t="str">
        <x:v>第1段階</x:v>
      </x:c>
      <x:c r="S144" s="90" t="str">
        <x:v>画面一覧のURL案を基に作成</x:v>
      </x:c>
    </x:row>
    <x:row r="145" ht="42" customHeight="1">
      <x:c r="A145" s="79" t="n">
        <x:v>142</x:v>
      </x:c>
      <x:c r="B145" s="80" t="str">
        <x:v>RT-0142</x:v>
      </x:c>
      <x:c r="C145" s="80" t="str">
        <x:v>SC-CO-042</x:v>
      </x:c>
      <x:c r="D145" s="80" t="str">
        <x:v>企業</x:v>
      </x:c>
      <x:c r="E145" s="80" t="str">
        <x:v>料金・契約</x:v>
      </x:c>
      <x:c r="F145" s="80" t="str">
        <x:v>プラン・利用状況</x:v>
      </x:c>
      <x:c r="G145" s="80" t="str">
        <x:v>プラン変更</x:v>
      </x:c>
      <x:c r="H145" s="80" t="str">
        <x:v>POST</x:v>
      </x:c>
      <x:c r="I145" s="80" t="str">
        <x:v>/company/billing/plan</x:v>
      </x:c>
      <x:c r="J145" s="80" t="str">
        <x:v>CompanyBillingController</x:v>
      </x:c>
      <x:c r="K145" s="80" t="str">
        <x:v>changePlan_sc_co_042</x:v>
      </x:c>
      <x:c r="L145" s="80" t="str">
        <x:v>redirect またはファイルレスポンス</x:v>
      </x:c>
      <x:c r="M145" s="80" t="str">
        <x:v>必要</x:v>
      </x:c>
      <x:c r="N145" s="80" t="str">
        <x:v>ROLE_COMPANY_MEMBER</x:v>
      </x:c>
      <x:c r="O145" s="80" t="str">
        <x:v>同画面へ</x:v>
      </x:c>
      <x:c r="P145" s="80" t="str">
        <x:v>入力エラーは元画面へ戻す。業務エラーはメッセージ表示</x:v>
      </x:c>
      <x:c r="Q145" s="80" t="str">
        <x:v>〇</x:v>
      </x:c>
      <x:c r="R145" s="80" t="str">
        <x:v>第1段階</x:v>
      </x:c>
      <x:c r="S145" s="81" t="str">
        <x:v>POSTはCSRF有効。更新処理はService層で権限・所有者を再確認</x:v>
      </x:c>
    </x:row>
    <x:row r="146" ht="42" customHeight="1">
      <x:c r="A146" s="88" t="n">
        <x:v>143</x:v>
      </x:c>
      <x:c r="B146" s="89" t="str">
        <x:v>RT-0143</x:v>
      </x:c>
      <x:c r="C146" s="89" t="str">
        <x:v>SC-CO-043</x:v>
      </x:c>
      <x:c r="D146" s="89" t="str">
        <x:v>企業</x:v>
      </x:c>
      <x:c r="E146" s="89" t="str">
        <x:v>料金・契約</x:v>
      </x:c>
      <x:c r="F146" s="89" t="str">
        <x:v>決済方法・請求履歴</x:v>
      </x:c>
      <x:c r="G146" s="89" t="str">
        <x:v>画面表示</x:v>
      </x:c>
      <x:c r="H146" s="89" t="str">
        <x:v>GET</x:v>
      </x:c>
      <x:c r="I146" s="89" t="str">
        <x:v>/company/billing</x:v>
      </x:c>
      <x:c r="J146" s="89" t="str">
        <x:v>CompanyBillingController</x:v>
      </x:c>
      <x:c r="K146" s="89" t="str">
        <x:v>show_sc_co_043</x:v>
      </x:c>
      <x:c r="L146" s="89" t="str">
        <x:v>company/billing</x:v>
      </x:c>
      <x:c r="M146" s="89" t="str">
        <x:v>必要</x:v>
      </x:c>
      <x:c r="N146" s="89" t="str">
        <x:v>ROLE_COMPANY_MEMBER</x:v>
      </x:c>
      <x:c r="O146" s="89" t="str">
        <x:v>同画面を表示</x:v>
      </x:c>
      <x:c r="P146" s="89" t="str">
        <x:v>権限エラーは /error/access、データなしは404画面</x:v>
      </x:c>
      <x:c r="Q146" s="89" t="str">
        <x:v>△</x:v>
      </x:c>
      <x:c r="R146" s="89" t="str">
        <x:v>第2段階</x:v>
      </x:c>
      <x:c r="S146" s="90" t="str">
        <x:v>画面一覧のURL案を基に作成</x:v>
      </x:c>
    </x:row>
    <x:row r="147" ht="42" customHeight="1">
      <x:c r="A147" s="79" t="n">
        <x:v>144</x:v>
      </x:c>
      <x:c r="B147" s="80" t="str">
        <x:v>RT-0144</x:v>
      </x:c>
      <x:c r="C147" s="80" t="str">
        <x:v>SC-CO-043</x:v>
      </x:c>
      <x:c r="D147" s="80" t="str">
        <x:v>企業</x:v>
      </x:c>
      <x:c r="E147" s="80" t="str">
        <x:v>料金・契約</x:v>
      </x:c>
      <x:c r="F147" s="80" t="str">
        <x:v>決済方法・請求履歴</x:v>
      </x:c>
      <x:c r="G147" s="80" t="str">
        <x:v>決済方法更新</x:v>
      </x:c>
      <x:c r="H147" s="80" t="str">
        <x:v>POST</x:v>
      </x:c>
      <x:c r="I147" s="80" t="str">
        <x:v>/company/billing/payment-method</x:v>
      </x:c>
      <x:c r="J147" s="80" t="str">
        <x:v>CompanyBillingController</x:v>
      </x:c>
      <x:c r="K147" s="80" t="str">
        <x:v>updatePaymentMethod_sc_co_043</x:v>
      </x:c>
      <x:c r="L147" s="80" t="str">
        <x:v>redirect またはファイルレスポンス</x:v>
      </x:c>
      <x:c r="M147" s="80" t="str">
        <x:v>必要</x:v>
      </x:c>
      <x:c r="N147" s="80" t="str">
        <x:v>ROLE_COMPANY_MEMBER</x:v>
      </x:c>
      <x:c r="O147" s="80" t="str">
        <x:v>同画面へ</x:v>
      </x:c>
      <x:c r="P147" s="80" t="str">
        <x:v>入力エラーは元画面へ戻す。業務エラーはメッセージ表示</x:v>
      </x:c>
      <x:c r="Q147" s="80" t="str">
        <x:v>△</x:v>
      </x:c>
      <x:c r="R147" s="80" t="str">
        <x:v>第2段階</x:v>
      </x:c>
      <x:c r="S147" s="81" t="str">
        <x:v>POSTはCSRF有効。更新処理はService層で権限・所有者を再確認</x:v>
      </x:c>
    </x:row>
    <x:row r="148" ht="42" customHeight="1">
      <x:c r="A148" s="88" t="n">
        <x:v>145</x:v>
      </x:c>
      <x:c r="B148" s="89" t="str">
        <x:v>RT-0145</x:v>
      </x:c>
      <x:c r="C148" s="89" t="str">
        <x:v>SC-CO-044</x:v>
      </x:c>
      <x:c r="D148" s="89" t="str">
        <x:v>企業</x:v>
      </x:c>
      <x:c r="E148" s="89" t="str">
        <x:v>セキュリティ</x:v>
      </x:c>
      <x:c r="F148" s="89" t="str">
        <x:v>操作履歴</x:v>
      </x:c>
      <x:c r="G148" s="89" t="str">
        <x:v>画面表示</x:v>
      </x:c>
      <x:c r="H148" s="89" t="str">
        <x:v>GET</x:v>
      </x:c>
      <x:c r="I148" s="89" t="str">
        <x:v>/company/audit-logs</x:v>
      </x:c>
      <x:c r="J148" s="89" t="str">
        <x:v>CompanyAuditLogController</x:v>
      </x:c>
      <x:c r="K148" s="89" t="str">
        <x:v>show_sc_co_044</x:v>
      </x:c>
      <x:c r="L148" s="89" t="str">
        <x:v>company/audit-logs</x:v>
      </x:c>
      <x:c r="M148" s="89" t="str">
        <x:v>必要</x:v>
      </x:c>
      <x:c r="N148" s="89" t="str">
        <x:v>ROLE_COMPANY_MEMBER</x:v>
      </x:c>
      <x:c r="O148" s="89" t="str">
        <x:v>同画面を表示</x:v>
      </x:c>
      <x:c r="P148" s="89" t="str">
        <x:v>権限エラーは /error/access、データなしは404画面</x:v>
      </x:c>
      <x:c r="Q148" s="89" t="str">
        <x:v>△</x:v>
      </x:c>
      <x:c r="R148" s="89" t="str">
        <x:v>第2段階</x:v>
      </x:c>
      <x:c r="S148" s="90" t="str">
        <x:v>画面一覧のURL案を基に作成</x:v>
      </x:c>
    </x:row>
    <x:row r="149" ht="42" customHeight="1">
      <x:c r="A149" s="79" t="n">
        <x:v>146</x:v>
      </x:c>
      <x:c r="B149" s="80" t="str">
        <x:v>RT-0146</x:v>
      </x:c>
      <x:c r="C149" s="80" t="str">
        <x:v>SC-CO-045</x:v>
      </x:c>
      <x:c r="D149" s="80" t="str">
        <x:v>企業</x:v>
      </x:c>
      <x:c r="E149" s="80" t="str">
        <x:v>設定</x:v>
      </x:c>
      <x:c r="F149" s="80" t="str">
        <x:v>企業アカウント設定</x:v>
      </x:c>
      <x:c r="G149" s="80" t="str">
        <x:v>画面表示</x:v>
      </x:c>
      <x:c r="H149" s="80" t="str">
        <x:v>GET</x:v>
      </x:c>
      <x:c r="I149" s="80" t="str">
        <x:v>/company/settings</x:v>
      </x:c>
      <x:c r="J149" s="80" t="str">
        <x:v>CompanySettingsController</x:v>
      </x:c>
      <x:c r="K149" s="80" t="str">
        <x:v>show_sc_co_045</x:v>
      </x:c>
      <x:c r="L149" s="80" t="str">
        <x:v>company/settings</x:v>
      </x:c>
      <x:c r="M149" s="80" t="str">
        <x:v>必要</x:v>
      </x:c>
      <x:c r="N149" s="80" t="str">
        <x:v>ROLE_COMPANY_MEMBER</x:v>
      </x:c>
      <x:c r="O149" s="80" t="str">
        <x:v>同画面を表示</x:v>
      </x:c>
      <x:c r="P149" s="80" t="str">
        <x:v>権限エラーは /error/access、データなしは404画面</x:v>
      </x:c>
      <x:c r="Q149" s="80" t="str">
        <x:v>〇</x:v>
      </x:c>
      <x:c r="R149" s="80" t="str">
        <x:v>第1段階</x:v>
      </x:c>
      <x:c r="S149" s="81" t="str">
        <x:v>画面一覧のURL案を基に作成</x:v>
      </x:c>
    </x:row>
    <x:row r="150" ht="42" customHeight="1">
      <x:c r="A150" s="88" t="n">
        <x:v>147</x:v>
      </x:c>
      <x:c r="B150" s="89" t="str">
        <x:v>RT-0147</x:v>
      </x:c>
      <x:c r="C150" s="89" t="str">
        <x:v>SC-CO-045</x:v>
      </x:c>
      <x:c r="D150" s="89" t="str">
        <x:v>企業</x:v>
      </x:c>
      <x:c r="E150" s="89" t="str">
        <x:v>設定</x:v>
      </x:c>
      <x:c r="F150" s="89" t="str">
        <x:v>企業アカウント設定</x:v>
      </x:c>
      <x:c r="G150" s="89" t="str">
        <x:v>更新</x:v>
      </x:c>
      <x:c r="H150" s="89" t="str">
        <x:v>POST</x:v>
      </x:c>
      <x:c r="I150" s="89" t="str">
        <x:v>/company/settings</x:v>
      </x:c>
      <x:c r="J150" s="89" t="str">
        <x:v>CompanySettingsController</x:v>
      </x:c>
      <x:c r="K150" s="89" t="str">
        <x:v>update_sc_co_045</x:v>
      </x:c>
      <x:c r="L150" s="89" t="str">
        <x:v>redirect またはファイルレスポンス</x:v>
      </x:c>
      <x:c r="M150" s="89" t="str">
        <x:v>必要</x:v>
      </x:c>
      <x:c r="N150" s="89" t="str">
        <x:v>ROLE_COMPANY_MEMBER</x:v>
      </x:c>
      <x:c r="O150" s="89" t="str">
        <x:v>同画面へ</x:v>
      </x:c>
      <x:c r="P150" s="89" t="str">
        <x:v>入力エラーは元画面へ戻す。業務エラーはメッセージ表示</x:v>
      </x:c>
      <x:c r="Q150" s="89" t="str">
        <x:v>〇</x:v>
      </x:c>
      <x:c r="R150" s="89" t="str">
        <x:v>第1段階</x:v>
      </x:c>
      <x:c r="S150" s="90" t="str">
        <x:v>POSTはCSRF有効。更新処理はService層で権限・所有者を再確認</x:v>
      </x:c>
    </x:row>
    <x:row r="151" ht="42" customHeight="1">
      <x:c r="A151" s="79" t="n">
        <x:v>148</x:v>
      </x:c>
      <x:c r="B151" s="80" t="str">
        <x:v>RT-0148</x:v>
      </x:c>
      <x:c r="C151" s="80" t="str">
        <x:v>SC-AD-001</x:v>
      </x:c>
      <x:c r="D151" s="80" t="str">
        <x:v>運営</x:v>
      </x:c>
      <x:c r="E151" s="80" t="str">
        <x:v>認証</x:v>
      </x:c>
      <x:c r="F151" s="80" t="str">
        <x:v>運営管理ログイン</x:v>
      </x:c>
      <x:c r="G151" s="80" t="str">
        <x:v>画面表示</x:v>
      </x:c>
      <x:c r="H151" s="80" t="str">
        <x:v>GET</x:v>
      </x:c>
      <x:c r="I151" s="80" t="str">
        <x:v>/admin/login</x:v>
      </x:c>
      <x:c r="J151" s="80" t="str">
        <x:v>AdminAuthenticationController</x:v>
      </x:c>
      <x:c r="K151" s="80" t="str">
        <x:v>show_sc_ad_001</x:v>
      </x:c>
      <x:c r="L151" s="80" t="str">
        <x:v>admin/login</x:v>
      </x:c>
      <x:c r="M151" s="80" t="str">
        <x:v>不要</x:v>
      </x:c>
      <x:c r="N151" s="80" t="str">
        <x:v>permitAll</x:v>
      </x:c>
      <x:c r="O151" s="80" t="str">
        <x:v>同画面を表示</x:v>
      </x:c>
      <x:c r="P151" s="80" t="str">
        <x:v>権限エラーは /error/access、データなしは404画面</x:v>
      </x:c>
      <x:c r="Q151" s="80" t="str">
        <x:v>〇</x:v>
      </x:c>
      <x:c r="R151" s="80" t="str">
        <x:v>第1段階</x:v>
      </x:c>
      <x:c r="S151" s="81" t="str">
        <x:v>画面一覧のURL案を基に作成</x:v>
      </x:c>
    </x:row>
    <x:row r="152" ht="42" customHeight="1">
      <x:c r="A152" s="88" t="n">
        <x:v>149</x:v>
      </x:c>
      <x:c r="B152" s="89" t="str">
        <x:v>RT-0149</x:v>
      </x:c>
      <x:c r="C152" s="89" t="str">
        <x:v>SC-AD-001</x:v>
      </x:c>
      <x:c r="D152" s="89" t="str">
        <x:v>運営</x:v>
      </x:c>
      <x:c r="E152" s="89" t="str">
        <x:v>認証</x:v>
      </x:c>
      <x:c r="F152" s="89" t="str">
        <x:v>運営管理ログイン</x:v>
      </x:c>
      <x:c r="G152" s="89" t="str">
        <x:v>認証</x:v>
      </x:c>
      <x:c r="H152" s="89" t="str">
        <x:v>POST</x:v>
      </x:c>
      <x:c r="I152" s="89" t="str">
        <x:v>/admin/login</x:v>
      </x:c>
      <x:c r="J152" s="89" t="str">
        <x:v>AdminAuthenticationController</x:v>
      </x:c>
      <x:c r="K152" s="89" t="str">
        <x:v>authenticate_sc_ad_001</x:v>
      </x:c>
      <x:c r="L152" s="89" t="str">
        <x:v>redirect またはファイルレスポンス</x:v>
      </x:c>
      <x:c r="M152" s="89" t="str">
        <x:v>不要</x:v>
      </x:c>
      <x:c r="N152" s="89" t="str">
        <x:v>permitAll</x:v>
      </x:c>
      <x:c r="O152" s="89" t="str">
        <x:v>運営ダッシュボードへ</x:v>
      </x:c>
      <x:c r="P152" s="89" t="str">
        <x:v>入力エラーは元画面へ戻す。業務エラーはメッセージ表示</x:v>
      </x:c>
      <x:c r="Q152" s="89" t="str">
        <x:v>〇</x:v>
      </x:c>
      <x:c r="R152" s="89" t="str">
        <x:v>第1段階</x:v>
      </x:c>
      <x:c r="S152" s="90" t="str">
        <x:v>POSTはCSRF有効。更新処理はService層で権限・所有者を再確認</x:v>
      </x:c>
    </x:row>
    <x:row r="153" ht="42" customHeight="1">
      <x:c r="A153" s="79" t="n">
        <x:v>150</x:v>
      </x:c>
      <x:c r="B153" s="80" t="str">
        <x:v>RT-0150</x:v>
      </x:c>
      <x:c r="C153" s="80" t="str">
        <x:v>SC-AD-002</x:v>
      </x:c>
      <x:c r="D153" s="80" t="str">
        <x:v>運営</x:v>
      </x:c>
      <x:c r="E153" s="80" t="str">
        <x:v>ダッシュボード</x:v>
      </x:c>
      <x:c r="F153" s="80" t="str">
        <x:v>運営ダッシュボード</x:v>
      </x:c>
      <x:c r="G153" s="80" t="str">
        <x:v>画面表示</x:v>
      </x:c>
      <x:c r="H153" s="80" t="str">
        <x:v>GET</x:v>
      </x:c>
      <x:c r="I153" s="80" t="str">
        <x:v>/admin</x:v>
      </x:c>
      <x:c r="J153" s="80" t="str">
        <x:v>AdminDashboardController</x:v>
      </x:c>
      <x:c r="K153" s="80" t="str">
        <x:v>show_sc_ad_002</x:v>
      </x:c>
      <x:c r="L153" s="80" t="str">
        <x:v>admin/dashboard</x:v>
      </x:c>
      <x:c r="M153" s="80" t="str">
        <x:v>必要</x:v>
      </x:c>
      <x:c r="N153" s="80" t="str">
        <x:v>ROLE_SITE_ADMIN</x:v>
      </x:c>
      <x:c r="O153" s="80" t="str">
        <x:v>同画面を表示</x:v>
      </x:c>
      <x:c r="P153" s="80" t="str">
        <x:v>権限エラーは /error/access、データなしは404画面</x:v>
      </x:c>
      <x:c r="Q153" s="80" t="str">
        <x:v>〇</x:v>
      </x:c>
      <x:c r="R153" s="80" t="str">
        <x:v>第1段階</x:v>
      </x:c>
      <x:c r="S153" s="81" t="str">
        <x:v>画面一覧のURL案を基に作成</x:v>
      </x:c>
    </x:row>
    <x:row r="154" ht="42" customHeight="1">
      <x:c r="A154" s="88" t="n">
        <x:v>151</x:v>
      </x:c>
      <x:c r="B154" s="89" t="str">
        <x:v>RT-0151</x:v>
      </x:c>
      <x:c r="C154" s="89" t="str">
        <x:v>SC-AD-003</x:v>
      </x:c>
      <x:c r="D154" s="89" t="str">
        <x:v>運営</x:v>
      </x:c>
      <x:c r="E154" s="89" t="str">
        <x:v>企業審査</x:v>
      </x:c>
      <x:c r="F154" s="89" t="str">
        <x:v>企業審査一覧</x:v>
      </x:c>
      <x:c r="G154" s="89" t="str">
        <x:v>画面表示</x:v>
      </x:c>
      <x:c r="H154" s="89" t="str">
        <x:v>GET</x:v>
      </x:c>
      <x:c r="I154" s="89" t="str">
        <x:v>/admin/company-reviews</x:v>
      </x:c>
      <x:c r="J154" s="89" t="str">
        <x:v>AdminCompanyReviewController</x:v>
      </x:c>
      <x:c r="K154" s="89" t="str">
        <x:v>show_sc_ad_003</x:v>
      </x:c>
      <x:c r="L154" s="89" t="str">
        <x:v>admin/company-reviews</x:v>
      </x:c>
      <x:c r="M154" s="89" t="str">
        <x:v>必要</x:v>
      </x:c>
      <x:c r="N154" s="89" t="str">
        <x:v>ROLE_SITE_ADMIN</x:v>
      </x:c>
      <x:c r="O154" s="89" t="str">
        <x:v>同画面を表示</x:v>
      </x:c>
      <x:c r="P154" s="89" t="str">
        <x:v>権限エラーは /error/access、データなしは404画面</x:v>
      </x:c>
      <x:c r="Q154" s="89" t="str">
        <x:v>〇</x:v>
      </x:c>
      <x:c r="R154" s="89" t="str">
        <x:v>第1段階</x:v>
      </x:c>
      <x:c r="S154" s="90" t="str">
        <x:v>画面一覧のURL案を基に作成</x:v>
      </x:c>
    </x:row>
    <x:row r="155" ht="42" customHeight="1">
      <x:c r="A155" s="79" t="n">
        <x:v>152</x:v>
      </x:c>
      <x:c r="B155" s="80" t="str">
        <x:v>RT-0152</x:v>
      </x:c>
      <x:c r="C155" s="80" t="str">
        <x:v>SC-AD-004</x:v>
      </x:c>
      <x:c r="D155" s="80" t="str">
        <x:v>運営</x:v>
      </x:c>
      <x:c r="E155" s="80" t="str">
        <x:v>企業審査</x:v>
      </x:c>
      <x:c r="F155" s="80" t="str">
        <x:v>企業審査詳細</x:v>
      </x:c>
      <x:c r="G155" s="80" t="str">
        <x:v>画面表示</x:v>
      </x:c>
      <x:c r="H155" s="80" t="str">
        <x:v>GET</x:v>
      </x:c>
      <x:c r="I155" s="80" t="str">
        <x:v>/admin/company-reviews/{companyId}</x:v>
      </x:c>
      <x:c r="J155" s="80" t="str">
        <x:v>AdminCompanyReviewController</x:v>
      </x:c>
      <x:c r="K155" s="80" t="str">
        <x:v>show_sc_ad_004</x:v>
      </x:c>
      <x:c r="L155" s="80" t="str">
        <x:v>admin/company-reviews/detail</x:v>
      </x:c>
      <x:c r="M155" s="80" t="str">
        <x:v>必要</x:v>
      </x:c>
      <x:c r="N155" s="80" t="str">
        <x:v>ROLE_SITE_ADMIN</x:v>
      </x:c>
      <x:c r="O155" s="80" t="str">
        <x:v>同画面を表示</x:v>
      </x:c>
      <x:c r="P155" s="80" t="str">
        <x:v>権限エラーは /error/access、データなしは404画面</x:v>
      </x:c>
      <x:c r="Q155" s="80" t="str">
        <x:v>〇</x:v>
      </x:c>
      <x:c r="R155" s="80" t="str">
        <x:v>第1段階</x:v>
      </x:c>
      <x:c r="S155" s="81" t="str">
        <x:v>画面一覧のURL案を基に作成</x:v>
      </x:c>
    </x:row>
    <x:row r="156" ht="42" customHeight="1">
      <x:c r="A156" s="88" t="n">
        <x:v>153</x:v>
      </x:c>
      <x:c r="B156" s="89" t="str">
        <x:v>RT-0153</x:v>
      </x:c>
      <x:c r="C156" s="89" t="str">
        <x:v>SC-AD-004</x:v>
      </x:c>
      <x:c r="D156" s="89" t="str">
        <x:v>運営</x:v>
      </x:c>
      <x:c r="E156" s="89" t="str">
        <x:v>企業審査</x:v>
      </x:c>
      <x:c r="F156" s="89" t="str">
        <x:v>企業審査詳細</x:v>
      </x:c>
      <x:c r="G156" s="89" t="str">
        <x:v>審査決定</x:v>
      </x:c>
      <x:c r="H156" s="89" t="str">
        <x:v>POST</x:v>
      </x:c>
      <x:c r="I156" s="89" t="str">
        <x:v>/admin/company-reviews/{companyId}/decision</x:v>
      </x:c>
      <x:c r="J156" s="89" t="str">
        <x:v>AdminCompanyReviewController</x:v>
      </x:c>
      <x:c r="K156" s="89" t="str">
        <x:v>decide_sc_ad_004</x:v>
      </x:c>
      <x:c r="L156" s="89" t="str">
        <x:v>redirect またはファイルレスポンス</x:v>
      </x:c>
      <x:c r="M156" s="89" t="str">
        <x:v>必要</x:v>
      </x:c>
      <x:c r="N156" s="89" t="str">
        <x:v>ROLE_SITE_ADMIN</x:v>
      </x:c>
      <x:c r="O156" s="89" t="str">
        <x:v>企業審査一覧へ</x:v>
      </x:c>
      <x:c r="P156" s="89" t="str">
        <x:v>入力エラーは元画面へ戻す。業務エラーはメッセージ表示</x:v>
      </x:c>
      <x:c r="Q156" s="89" t="str">
        <x:v>〇</x:v>
      </x:c>
      <x:c r="R156" s="89" t="str">
        <x:v>第1段階</x:v>
      </x:c>
      <x:c r="S156" s="90" t="str">
        <x:v>POSTはCSRF有効。更新処理はService層で権限・所有者を再確認</x:v>
      </x:c>
    </x:row>
    <x:row r="157" ht="42" customHeight="1">
      <x:c r="A157" s="79" t="n">
        <x:v>154</x:v>
      </x:c>
      <x:c r="B157" s="80" t="str">
        <x:v>RT-0154</x:v>
      </x:c>
      <x:c r="C157" s="80" t="str">
        <x:v>SC-AD-005</x:v>
      </x:c>
      <x:c r="D157" s="80" t="str">
        <x:v>運営</x:v>
      </x:c>
      <x:c r="E157" s="80" t="str">
        <x:v>求人審査</x:v>
      </x:c>
      <x:c r="F157" s="80" t="str">
        <x:v>求人審査一覧</x:v>
      </x:c>
      <x:c r="G157" s="80" t="str">
        <x:v>画面表示</x:v>
      </x:c>
      <x:c r="H157" s="80" t="str">
        <x:v>GET</x:v>
      </x:c>
      <x:c r="I157" s="80" t="str">
        <x:v>/admin/job-reviews</x:v>
      </x:c>
      <x:c r="J157" s="80" t="str">
        <x:v>AdminJobReviewController</x:v>
      </x:c>
      <x:c r="K157" s="80" t="str">
        <x:v>show_sc_ad_005</x:v>
      </x:c>
      <x:c r="L157" s="80" t="str">
        <x:v>admin/job-reviews</x:v>
      </x:c>
      <x:c r="M157" s="80" t="str">
        <x:v>必要</x:v>
      </x:c>
      <x:c r="N157" s="80" t="str">
        <x:v>ROLE_SITE_ADMIN</x:v>
      </x:c>
      <x:c r="O157" s="80" t="str">
        <x:v>同画面を表示</x:v>
      </x:c>
      <x:c r="P157" s="80" t="str">
        <x:v>権限エラーは /error/access、データなしは404画面</x:v>
      </x:c>
      <x:c r="Q157" s="80" t="str">
        <x:v>〇</x:v>
      </x:c>
      <x:c r="R157" s="80" t="str">
        <x:v>第1段階</x:v>
      </x:c>
      <x:c r="S157" s="81" t="str">
        <x:v>画面一覧のURL案を基に作成</x:v>
      </x:c>
    </x:row>
    <x:row r="158" ht="42" customHeight="1">
      <x:c r="A158" s="88" t="n">
        <x:v>155</x:v>
      </x:c>
      <x:c r="B158" s="89" t="str">
        <x:v>RT-0155</x:v>
      </x:c>
      <x:c r="C158" s="89" t="str">
        <x:v>SC-AD-006</x:v>
      </x:c>
      <x:c r="D158" s="89" t="str">
        <x:v>運営</x:v>
      </x:c>
      <x:c r="E158" s="89" t="str">
        <x:v>求人審査</x:v>
      </x:c>
      <x:c r="F158" s="89" t="str">
        <x:v>求人審査詳細</x:v>
      </x:c>
      <x:c r="G158" s="89" t="str">
        <x:v>画面表示</x:v>
      </x:c>
      <x:c r="H158" s="89" t="str">
        <x:v>GET</x:v>
      </x:c>
      <x:c r="I158" s="89" t="str">
        <x:v>/admin/job-reviews/{jobId}</x:v>
      </x:c>
      <x:c r="J158" s="89" t="str">
        <x:v>AdminJobReviewController</x:v>
      </x:c>
      <x:c r="K158" s="89" t="str">
        <x:v>show_sc_ad_006</x:v>
      </x:c>
      <x:c r="L158" s="89" t="str">
        <x:v>admin/job-reviews/detail</x:v>
      </x:c>
      <x:c r="M158" s="89" t="str">
        <x:v>必要</x:v>
      </x:c>
      <x:c r="N158" s="89" t="str">
        <x:v>ROLE_SITE_ADMIN</x:v>
      </x:c>
      <x:c r="O158" s="89" t="str">
        <x:v>同画面を表示</x:v>
      </x:c>
      <x:c r="P158" s="89" t="str">
        <x:v>権限エラーは /error/access、データなしは404画面</x:v>
      </x:c>
      <x:c r="Q158" s="89" t="str">
        <x:v>〇</x:v>
      </x:c>
      <x:c r="R158" s="89" t="str">
        <x:v>第1段階</x:v>
      </x:c>
      <x:c r="S158" s="90" t="str">
        <x:v>画面一覧のURL案を基に作成</x:v>
      </x:c>
    </x:row>
    <x:row r="159" ht="42" customHeight="1">
      <x:c r="A159" s="79" t="n">
        <x:v>156</x:v>
      </x:c>
      <x:c r="B159" s="80" t="str">
        <x:v>RT-0156</x:v>
      </x:c>
      <x:c r="C159" s="80" t="str">
        <x:v>SC-AD-006</x:v>
      </x:c>
      <x:c r="D159" s="80" t="str">
        <x:v>運営</x:v>
      </x:c>
      <x:c r="E159" s="80" t="str">
        <x:v>求人審査</x:v>
      </x:c>
      <x:c r="F159" s="80" t="str">
        <x:v>求人審査詳細</x:v>
      </x:c>
      <x:c r="G159" s="80" t="str">
        <x:v>審査決定</x:v>
      </x:c>
      <x:c r="H159" s="80" t="str">
        <x:v>POST</x:v>
      </x:c>
      <x:c r="I159" s="80" t="str">
        <x:v>/admin/job-reviews/{jobId}/decision</x:v>
      </x:c>
      <x:c r="J159" s="80" t="str">
        <x:v>AdminJobReviewController</x:v>
      </x:c>
      <x:c r="K159" s="80" t="str">
        <x:v>decide_sc_ad_006</x:v>
      </x:c>
      <x:c r="L159" s="80" t="str">
        <x:v>redirect またはファイルレスポンス</x:v>
      </x:c>
      <x:c r="M159" s="80" t="str">
        <x:v>必要</x:v>
      </x:c>
      <x:c r="N159" s="80" t="str">
        <x:v>ROLE_SITE_ADMIN</x:v>
      </x:c>
      <x:c r="O159" s="80" t="str">
        <x:v>求人審査一覧へ</x:v>
      </x:c>
      <x:c r="P159" s="80" t="str">
        <x:v>入力エラーは元画面へ戻す。業務エラーはメッセージ表示</x:v>
      </x:c>
      <x:c r="Q159" s="80" t="str">
        <x:v>〇</x:v>
      </x:c>
      <x:c r="R159" s="80" t="str">
        <x:v>第1段階</x:v>
      </x:c>
      <x:c r="S159" s="81" t="str">
        <x:v>POSTはCSRF有効。更新処理はService層で権限・所有者を再確認</x:v>
      </x:c>
    </x:row>
    <x:row r="160" ht="42" customHeight="1">
      <x:c r="A160" s="88" t="n">
        <x:v>157</x:v>
      </x:c>
      <x:c r="B160" s="89" t="str">
        <x:v>RT-0157</x:v>
      </x:c>
      <x:c r="C160" s="89" t="str">
        <x:v>SC-AD-007</x:v>
      </x:c>
      <x:c r="D160" s="89" t="str">
        <x:v>運営</x:v>
      </x:c>
      <x:c r="E160" s="89" t="str">
        <x:v>ユーザー管理</x:v>
      </x:c>
      <x:c r="F160" s="89" t="str">
        <x:v>ユーザー一覧</x:v>
      </x:c>
      <x:c r="G160" s="89" t="str">
        <x:v>画面表示</x:v>
      </x:c>
      <x:c r="H160" s="89" t="str">
        <x:v>GET</x:v>
      </x:c>
      <x:c r="I160" s="89" t="str">
        <x:v>/admin/users</x:v>
      </x:c>
      <x:c r="J160" s="89" t="str">
        <x:v>AdminUserController</x:v>
      </x:c>
      <x:c r="K160" s="89" t="str">
        <x:v>show_sc_ad_007</x:v>
      </x:c>
      <x:c r="L160" s="89" t="str">
        <x:v>admin/users</x:v>
      </x:c>
      <x:c r="M160" s="89" t="str">
        <x:v>必要</x:v>
      </x:c>
      <x:c r="N160" s="89" t="str">
        <x:v>ROLE_SITE_ADMIN</x:v>
      </x:c>
      <x:c r="O160" s="89" t="str">
        <x:v>同画面を表示</x:v>
      </x:c>
      <x:c r="P160" s="89" t="str">
        <x:v>権限エラーは /error/access、データなしは404画面</x:v>
      </x:c>
      <x:c r="Q160" s="89" t="str">
        <x:v>〇</x:v>
      </x:c>
      <x:c r="R160" s="89" t="str">
        <x:v>第1段階</x:v>
      </x:c>
      <x:c r="S160" s="90" t="str">
        <x:v>画面一覧のURL案を基に作成</x:v>
      </x:c>
    </x:row>
    <x:row r="161" ht="42" customHeight="1">
      <x:c r="A161" s="79" t="n">
        <x:v>158</x:v>
      </x:c>
      <x:c r="B161" s="80" t="str">
        <x:v>RT-0158</x:v>
      </x:c>
      <x:c r="C161" s="80" t="str">
        <x:v>SC-AD-008</x:v>
      </x:c>
      <x:c r="D161" s="80" t="str">
        <x:v>運営</x:v>
      </x:c>
      <x:c r="E161" s="80" t="str">
        <x:v>ユーザー管理</x:v>
      </x:c>
      <x:c r="F161" s="80" t="str">
        <x:v>ユーザー詳細</x:v>
      </x:c>
      <x:c r="G161" s="80" t="str">
        <x:v>画面表示</x:v>
      </x:c>
      <x:c r="H161" s="80" t="str">
        <x:v>GET</x:v>
      </x:c>
      <x:c r="I161" s="80" t="str">
        <x:v>/admin/users/{userId}</x:v>
      </x:c>
      <x:c r="J161" s="80" t="str">
        <x:v>AdminUserController</x:v>
      </x:c>
      <x:c r="K161" s="80" t="str">
        <x:v>show_sc_ad_008</x:v>
      </x:c>
      <x:c r="L161" s="80" t="str">
        <x:v>admin/users/detail</x:v>
      </x:c>
      <x:c r="M161" s="80" t="str">
        <x:v>必要</x:v>
      </x:c>
      <x:c r="N161" s="80" t="str">
        <x:v>ROLE_SITE_ADMIN</x:v>
      </x:c>
      <x:c r="O161" s="80" t="str">
        <x:v>同画面を表示</x:v>
      </x:c>
      <x:c r="P161" s="80" t="str">
        <x:v>権限エラーは /error/access、データなしは404画面</x:v>
      </x:c>
      <x:c r="Q161" s="80" t="str">
        <x:v>〇</x:v>
      </x:c>
      <x:c r="R161" s="80" t="str">
        <x:v>第1段階</x:v>
      </x:c>
      <x:c r="S161" s="81" t="str">
        <x:v>画面一覧のURL案を基に作成</x:v>
      </x:c>
    </x:row>
    <x:row r="162" ht="42" customHeight="1">
      <x:c r="A162" s="88" t="n">
        <x:v>159</x:v>
      </x:c>
      <x:c r="B162" s="89" t="str">
        <x:v>RT-0159</x:v>
      </x:c>
      <x:c r="C162" s="89" t="str">
        <x:v>SC-AD-008</x:v>
      </x:c>
      <x:c r="D162" s="89" t="str">
        <x:v>運営</x:v>
      </x:c>
      <x:c r="E162" s="89" t="str">
        <x:v>ユーザー管理</x:v>
      </x:c>
      <x:c r="F162" s="89" t="str">
        <x:v>ユーザー詳細</x:v>
      </x:c>
      <x:c r="G162" s="89" t="str">
        <x:v>利用状態変更</x:v>
      </x:c>
      <x:c r="H162" s="89" t="str">
        <x:v>POST</x:v>
      </x:c>
      <x:c r="I162" s="89" t="str">
        <x:v>/admin/users/{userId}/status</x:v>
      </x:c>
      <x:c r="J162" s="89" t="str">
        <x:v>AdminUserController</x:v>
      </x:c>
      <x:c r="K162" s="89" t="str">
        <x:v>updateStatus_sc_ad_008</x:v>
      </x:c>
      <x:c r="L162" s="89" t="str">
        <x:v>redirect またはファイルレスポンス</x:v>
      </x:c>
      <x:c r="M162" s="89" t="str">
        <x:v>必要</x:v>
      </x:c>
      <x:c r="N162" s="89" t="str">
        <x:v>ROLE_SITE_ADMIN</x:v>
      </x:c>
      <x:c r="O162" s="89" t="str">
        <x:v>ユーザー詳細へ</x:v>
      </x:c>
      <x:c r="P162" s="89" t="str">
        <x:v>入力エラーは元画面へ戻す。業務エラーはメッセージ表示</x:v>
      </x:c>
      <x:c r="Q162" s="89" t="str">
        <x:v>〇</x:v>
      </x:c>
      <x:c r="R162" s="89" t="str">
        <x:v>第1段階</x:v>
      </x:c>
      <x:c r="S162" s="90" t="str">
        <x:v>POSTはCSRF有効。更新処理はService層で権限・所有者を再確認</x:v>
      </x:c>
    </x:row>
    <x:row r="163" ht="42" customHeight="1">
      <x:c r="A163" s="79" t="n">
        <x:v>160</x:v>
      </x:c>
      <x:c r="B163" s="80" t="str">
        <x:v>RT-0160</x:v>
      </x:c>
      <x:c r="C163" s="80" t="str">
        <x:v>SC-AD-009</x:v>
      </x:c>
      <x:c r="D163" s="80" t="str">
        <x:v>運営</x:v>
      </x:c>
      <x:c r="E163" s="80" t="str">
        <x:v>評価管理</x:v>
      </x:c>
      <x:c r="F163" s="80" t="str">
        <x:v>評価・通報審査一覧</x:v>
      </x:c>
      <x:c r="G163" s="80" t="str">
        <x:v>画面表示</x:v>
      </x:c>
      <x:c r="H163" s="80" t="str">
        <x:v>GET</x:v>
      </x:c>
      <x:c r="I163" s="80" t="str">
        <x:v>/admin/review-moderation</x:v>
      </x:c>
      <x:c r="J163" s="80" t="str">
        <x:v>AdminReviewModerationController</x:v>
      </x:c>
      <x:c r="K163" s="80" t="str">
        <x:v>show_sc_ad_009</x:v>
      </x:c>
      <x:c r="L163" s="80" t="str">
        <x:v>admin/review-moderation</x:v>
      </x:c>
      <x:c r="M163" s="80" t="str">
        <x:v>必要</x:v>
      </x:c>
      <x:c r="N163" s="80" t="str">
        <x:v>ROLE_SITE_ADMIN</x:v>
      </x:c>
      <x:c r="O163" s="80" t="str">
        <x:v>同画面を表示</x:v>
      </x:c>
      <x:c r="P163" s="80" t="str">
        <x:v>権限エラーは /error/access、データなしは404画面</x:v>
      </x:c>
      <x:c r="Q163" s="80" t="str">
        <x:v>〇</x:v>
      </x:c>
      <x:c r="R163" s="80" t="str">
        <x:v>第1段階</x:v>
      </x:c>
      <x:c r="S163" s="81" t="str">
        <x:v>画面一覧のURL案を基に作成</x:v>
      </x:c>
    </x:row>
    <x:row r="164" ht="42" customHeight="1">
      <x:c r="A164" s="88" t="n">
        <x:v>161</x:v>
      </x:c>
      <x:c r="B164" s="89" t="str">
        <x:v>RT-0161</x:v>
      </x:c>
      <x:c r="C164" s="89" t="str">
        <x:v>SC-AD-010</x:v>
      </x:c>
      <x:c r="D164" s="89" t="str">
        <x:v>運営</x:v>
      </x:c>
      <x:c r="E164" s="89" t="str">
        <x:v>評価管理</x:v>
      </x:c>
      <x:c r="F164" s="89" t="str">
        <x:v>評価・通報審査詳細</x:v>
      </x:c>
      <x:c r="G164" s="89" t="str">
        <x:v>画面表示</x:v>
      </x:c>
      <x:c r="H164" s="89" t="str">
        <x:v>GET</x:v>
      </x:c>
      <x:c r="I164" s="89" t="str">
        <x:v>/admin/review-moderation/{caseId}</x:v>
      </x:c>
      <x:c r="J164" s="89" t="str">
        <x:v>AdminReviewModerationController</x:v>
      </x:c>
      <x:c r="K164" s="89" t="str">
        <x:v>show_sc_ad_010</x:v>
      </x:c>
      <x:c r="L164" s="89" t="str">
        <x:v>admin/review-moderation/detail</x:v>
      </x:c>
      <x:c r="M164" s="89" t="str">
        <x:v>必要</x:v>
      </x:c>
      <x:c r="N164" s="89" t="str">
        <x:v>ROLE_SITE_ADMIN</x:v>
      </x:c>
      <x:c r="O164" s="89" t="str">
        <x:v>同画面を表示</x:v>
      </x:c>
      <x:c r="P164" s="89" t="str">
        <x:v>権限エラーは /error/access、データなしは404画面</x:v>
      </x:c>
      <x:c r="Q164" s="89" t="str">
        <x:v>〇</x:v>
      </x:c>
      <x:c r="R164" s="89" t="str">
        <x:v>第1段階</x:v>
      </x:c>
      <x:c r="S164" s="90" t="str">
        <x:v>画面一覧のURL案を基に作成</x:v>
      </x:c>
    </x:row>
    <x:row r="165" ht="42" customHeight="1">
      <x:c r="A165" s="79" t="n">
        <x:v>162</x:v>
      </x:c>
      <x:c r="B165" s="80" t="str">
        <x:v>RT-0162</x:v>
      </x:c>
      <x:c r="C165" s="80" t="str">
        <x:v>SC-AD-010</x:v>
      </x:c>
      <x:c r="D165" s="80" t="str">
        <x:v>運営</x:v>
      </x:c>
      <x:c r="E165" s="80" t="str">
        <x:v>評価管理</x:v>
      </x:c>
      <x:c r="F165" s="80" t="str">
        <x:v>評価・通報審査詳細</x:v>
      </x:c>
      <x:c r="G165" s="80" t="str">
        <x:v>審査決定</x:v>
      </x:c>
      <x:c r="H165" s="80" t="str">
        <x:v>POST</x:v>
      </x:c>
      <x:c r="I165" s="80" t="str">
        <x:v>/admin/review-moderation/{caseId}/decision</x:v>
      </x:c>
      <x:c r="J165" s="80" t="str">
        <x:v>AdminReviewModerationController</x:v>
      </x:c>
      <x:c r="K165" s="80" t="str">
        <x:v>decide_sc_ad_010</x:v>
      </x:c>
      <x:c r="L165" s="80" t="str">
        <x:v>redirect またはファイルレスポンス</x:v>
      </x:c>
      <x:c r="M165" s="80" t="str">
        <x:v>必要</x:v>
      </x:c>
      <x:c r="N165" s="80" t="str">
        <x:v>ROLE_SITE_ADMIN</x:v>
      </x:c>
      <x:c r="O165" s="80" t="str">
        <x:v>審査一覧へ</x:v>
      </x:c>
      <x:c r="P165" s="80" t="str">
        <x:v>入力エラーは元画面へ戻す。業務エラーはメッセージ表示</x:v>
      </x:c>
      <x:c r="Q165" s="80" t="str">
        <x:v>〇</x:v>
      </x:c>
      <x:c r="R165" s="80" t="str">
        <x:v>第1段階</x:v>
      </x:c>
      <x:c r="S165" s="81" t="str">
        <x:v>POSTはCSRF有効。更新処理はService層で権限・所有者を再確認</x:v>
      </x:c>
    </x:row>
    <x:row r="166" ht="42" customHeight="1">
      <x:c r="A166" s="88" t="n">
        <x:v>163</x:v>
      </x:c>
      <x:c r="B166" s="89" t="str">
        <x:v>RT-0163</x:v>
      </x:c>
      <x:c r="C166" s="89" t="str">
        <x:v>SC-AD-011</x:v>
      </x:c>
      <x:c r="D166" s="89" t="str">
        <x:v>運営</x:v>
      </x:c>
      <x:c r="E166" s="89" t="str">
        <x:v>評価管理</x:v>
      </x:c>
      <x:c r="F166" s="89" t="str">
        <x:v>評価編集・対応履歴</x:v>
      </x:c>
      <x:c r="G166" s="89" t="str">
        <x:v>画面表示</x:v>
      </x:c>
      <x:c r="H166" s="89" t="str">
        <x:v>GET</x:v>
      </x:c>
      <x:c r="I166" s="89" t="str">
        <x:v>/admin/reviews/{reviewId}/history</x:v>
      </x:c>
      <x:c r="J166" s="89" t="str">
        <x:v>AdminReviewController</x:v>
      </x:c>
      <x:c r="K166" s="89" t="str">
        <x:v>show_sc_ad_011</x:v>
      </x:c>
      <x:c r="L166" s="89" t="str">
        <x:v>admin/reviews/history</x:v>
      </x:c>
      <x:c r="M166" s="89" t="str">
        <x:v>必要</x:v>
      </x:c>
      <x:c r="N166" s="89" t="str">
        <x:v>ROLE_SITE_ADMIN</x:v>
      </x:c>
      <x:c r="O166" s="89" t="str">
        <x:v>同画面を表示</x:v>
      </x:c>
      <x:c r="P166" s="89" t="str">
        <x:v>権限エラーは /error/access、データなしは404画面</x:v>
      </x:c>
      <x:c r="Q166" s="89" t="str">
        <x:v>〇</x:v>
      </x:c>
      <x:c r="R166" s="89" t="str">
        <x:v>第1段階</x:v>
      </x:c>
      <x:c r="S166" s="90" t="str">
        <x:v>画面一覧のURL案を基に作成</x:v>
      </x:c>
    </x:row>
    <x:row r="167" ht="42" customHeight="1">
      <x:c r="A167" s="79" t="n">
        <x:v>164</x:v>
      </x:c>
      <x:c r="B167" s="80" t="str">
        <x:v>RT-0164</x:v>
      </x:c>
      <x:c r="C167" s="80" t="str">
        <x:v>SC-AD-012</x:v>
      </x:c>
      <x:c r="D167" s="80" t="str">
        <x:v>運営</x:v>
      </x:c>
      <x:c r="E167" s="80" t="str">
        <x:v>料金・契約</x:v>
      </x:c>
      <x:c r="F167" s="80" t="str">
        <x:v>企業プラン管理</x:v>
      </x:c>
      <x:c r="G167" s="80" t="str">
        <x:v>画面表示</x:v>
      </x:c>
      <x:c r="H167" s="80" t="str">
        <x:v>GET</x:v>
      </x:c>
      <x:c r="I167" s="80" t="str">
        <x:v>/admin/contracts</x:v>
      </x:c>
      <x:c r="J167" s="80" t="str">
        <x:v>AdminContractController</x:v>
      </x:c>
      <x:c r="K167" s="80" t="str">
        <x:v>show_sc_ad_012</x:v>
      </x:c>
      <x:c r="L167" s="80" t="str">
        <x:v>admin/contracts</x:v>
      </x:c>
      <x:c r="M167" s="80" t="str">
        <x:v>必要</x:v>
      </x:c>
      <x:c r="N167" s="80" t="str">
        <x:v>ROLE_SITE_ADMIN</x:v>
      </x:c>
      <x:c r="O167" s="80" t="str">
        <x:v>同画面を表示</x:v>
      </x:c>
      <x:c r="P167" s="80" t="str">
        <x:v>権限エラーは /error/access、データなしは404画面</x:v>
      </x:c>
      <x:c r="Q167" s="80" t="str">
        <x:v>〇</x:v>
      </x:c>
      <x:c r="R167" s="80" t="str">
        <x:v>第1段階</x:v>
      </x:c>
      <x:c r="S167" s="81" t="str">
        <x:v>画面一覧のURL案を基に作成</x:v>
      </x:c>
    </x:row>
    <x:row r="168" ht="42" customHeight="1">
      <x:c r="A168" s="88" t="n">
        <x:v>165</x:v>
      </x:c>
      <x:c r="B168" s="89" t="str">
        <x:v>RT-0165</x:v>
      </x:c>
      <x:c r="C168" s="89" t="str">
        <x:v>SC-AD-013</x:v>
      </x:c>
      <x:c r="D168" s="89" t="str">
        <x:v>運営</x:v>
      </x:c>
      <x:c r="E168" s="89" t="str">
        <x:v>料金・契約</x:v>
      </x:c>
      <x:c r="F168" s="89" t="str">
        <x:v>月額料金算定詳細</x:v>
      </x:c>
      <x:c r="G168" s="89" t="str">
        <x:v>画面表示</x:v>
      </x:c>
      <x:c r="H168" s="89" t="str">
        <x:v>GET</x:v>
      </x:c>
      <x:c r="I168" s="89" t="str">
        <x:v>/admin/contracts/{companyId}/pricing</x:v>
      </x:c>
      <x:c r="J168" s="89" t="str">
        <x:v>AdminContractController</x:v>
      </x:c>
      <x:c r="K168" s="89" t="str">
        <x:v>show_sc_ad_013</x:v>
      </x:c>
      <x:c r="L168" s="89" t="str">
        <x:v>admin/contracts/pricing</x:v>
      </x:c>
      <x:c r="M168" s="89" t="str">
        <x:v>必要</x:v>
      </x:c>
      <x:c r="N168" s="89" t="str">
        <x:v>ROLE_SITE_ADMIN</x:v>
      </x:c>
      <x:c r="O168" s="89" t="str">
        <x:v>同画面を表示</x:v>
      </x:c>
      <x:c r="P168" s="89" t="str">
        <x:v>権限エラーは /error/access、データなしは404画面</x:v>
      </x:c>
      <x:c r="Q168" s="89" t="str">
        <x:v>〇</x:v>
      </x:c>
      <x:c r="R168" s="89" t="str">
        <x:v>第1段階</x:v>
      </x:c>
      <x:c r="S168" s="90" t="str">
        <x:v>画面一覧のURL案を基に作成</x:v>
      </x:c>
    </x:row>
    <x:row r="169" ht="42" customHeight="1">
      <x:c r="A169" s="79" t="n">
        <x:v>166</x:v>
      </x:c>
      <x:c r="B169" s="80" t="str">
        <x:v>RT-0166</x:v>
      </x:c>
      <x:c r="C169" s="80" t="str">
        <x:v>SC-AD-014</x:v>
      </x:c>
      <x:c r="D169" s="80" t="str">
        <x:v>運営</x:v>
      </x:c>
      <x:c r="E169" s="80" t="str">
        <x:v>料金・契約</x:v>
      </x:c>
      <x:c r="F169" s="80" t="str">
        <x:v>請求・決済管理</x:v>
      </x:c>
      <x:c r="G169" s="80" t="str">
        <x:v>画面表示</x:v>
      </x:c>
      <x:c r="H169" s="80" t="str">
        <x:v>GET</x:v>
      </x:c>
      <x:c r="I169" s="80" t="str">
        <x:v>/admin/billing</x:v>
      </x:c>
      <x:c r="J169" s="80" t="str">
        <x:v>AdminBillingController</x:v>
      </x:c>
      <x:c r="K169" s="80" t="str">
        <x:v>show_sc_ad_014</x:v>
      </x:c>
      <x:c r="L169" s="80" t="str">
        <x:v>admin/billing</x:v>
      </x:c>
      <x:c r="M169" s="80" t="str">
        <x:v>必要</x:v>
      </x:c>
      <x:c r="N169" s="80" t="str">
        <x:v>ROLE_SITE_ADMIN</x:v>
      </x:c>
      <x:c r="O169" s="80" t="str">
        <x:v>同画面を表示</x:v>
      </x:c>
      <x:c r="P169" s="80" t="str">
        <x:v>権限エラーは /error/access、データなしは404画面</x:v>
      </x:c>
      <x:c r="Q169" s="80" t="str">
        <x:v>△</x:v>
      </x:c>
      <x:c r="R169" s="80" t="str">
        <x:v>第2段階</x:v>
      </x:c>
      <x:c r="S169" s="81" t="str">
        <x:v>画面一覧のURL案を基に作成</x:v>
      </x:c>
    </x:row>
    <x:row r="170" ht="42" customHeight="1">
      <x:c r="A170" s="88" t="n">
        <x:v>167</x:v>
      </x:c>
      <x:c r="B170" s="89" t="str">
        <x:v>RT-0167</x:v>
      </x:c>
      <x:c r="C170" s="89" t="str">
        <x:v>SC-AD-015</x:v>
      </x:c>
      <x:c r="D170" s="89" t="str">
        <x:v>運営</x:v>
      </x:c>
      <x:c r="E170" s="89" t="str">
        <x:v>マスタ</x:v>
      </x:c>
      <x:c r="F170" s="89" t="str">
        <x:v>マスタ管理メニュー</x:v>
      </x:c>
      <x:c r="G170" s="89" t="str">
        <x:v>画面表示</x:v>
      </x:c>
      <x:c r="H170" s="89" t="str">
        <x:v>GET</x:v>
      </x:c>
      <x:c r="I170" s="89" t="str">
        <x:v>/admin/masters</x:v>
      </x:c>
      <x:c r="J170" s="89" t="str">
        <x:v>AdminMasterController</x:v>
      </x:c>
      <x:c r="K170" s="89" t="str">
        <x:v>show_sc_ad_015</x:v>
      </x:c>
      <x:c r="L170" s="89" t="str">
        <x:v>admin/masters</x:v>
      </x:c>
      <x:c r="M170" s="89" t="str">
        <x:v>必要</x:v>
      </x:c>
      <x:c r="N170" s="89" t="str">
        <x:v>ROLE_SITE_ADMIN</x:v>
      </x:c>
      <x:c r="O170" s="89" t="str">
        <x:v>同画面を表示</x:v>
      </x:c>
      <x:c r="P170" s="89" t="str">
        <x:v>権限エラーは /error/access、データなしは404画面</x:v>
      </x:c>
      <x:c r="Q170" s="89" t="str">
        <x:v>〇</x:v>
      </x:c>
      <x:c r="R170" s="89" t="str">
        <x:v>第1段階</x:v>
      </x:c>
      <x:c r="S170" s="90" t="str">
        <x:v>画面一覧のURL案を基に作成</x:v>
      </x:c>
    </x:row>
    <x:row r="171" ht="42" customHeight="1">
      <x:c r="A171" s="79" t="n">
        <x:v>168</x:v>
      </x:c>
      <x:c r="B171" s="80" t="str">
        <x:v>RT-0168</x:v>
      </x:c>
      <x:c r="C171" s="80" t="str">
        <x:v>SC-AD-016</x:v>
      </x:c>
      <x:c r="D171" s="80" t="str">
        <x:v>運営</x:v>
      </x:c>
      <x:c r="E171" s="80" t="str">
        <x:v>マスタ</x:v>
      </x:c>
      <x:c r="F171" s="80" t="str">
        <x:v>マスタ一覧</x:v>
      </x:c>
      <x:c r="G171" s="80" t="str">
        <x:v>画面表示</x:v>
      </x:c>
      <x:c r="H171" s="80" t="str">
        <x:v>GET</x:v>
      </x:c>
      <x:c r="I171" s="80" t="str">
        <x:v>/admin/masters/{masterType}</x:v>
      </x:c>
      <x:c r="J171" s="80" t="str">
        <x:v>AdminMasterController</x:v>
      </x:c>
      <x:c r="K171" s="80" t="str">
        <x:v>show_sc_ad_016</x:v>
      </x:c>
      <x:c r="L171" s="80" t="str">
        <x:v>admin/masters/detail</x:v>
      </x:c>
      <x:c r="M171" s="80" t="str">
        <x:v>必要</x:v>
      </x:c>
      <x:c r="N171" s="80" t="str">
        <x:v>ROLE_SITE_ADMIN</x:v>
      </x:c>
      <x:c r="O171" s="80" t="str">
        <x:v>同画面を表示</x:v>
      </x:c>
      <x:c r="P171" s="80" t="str">
        <x:v>権限エラーは /error/access、データなしは404画面</x:v>
      </x:c>
      <x:c r="Q171" s="80" t="str">
        <x:v>〇</x:v>
      </x:c>
      <x:c r="R171" s="80" t="str">
        <x:v>第1段階</x:v>
      </x:c>
      <x:c r="S171" s="81" t="str">
        <x:v>画面一覧のURL案を基に作成</x:v>
      </x:c>
    </x:row>
    <x:row r="172" ht="42" customHeight="1">
      <x:c r="A172" s="88" t="n">
        <x:v>169</x:v>
      </x:c>
      <x:c r="B172" s="89" t="str">
        <x:v>RT-0169</x:v>
      </x:c>
      <x:c r="C172" s="89" t="str">
        <x:v>SC-AD-017</x:v>
      </x:c>
      <x:c r="D172" s="89" t="str">
        <x:v>運営</x:v>
      </x:c>
      <x:c r="E172" s="89" t="str">
        <x:v>マスタ</x:v>
      </x:c>
      <x:c r="F172" s="89" t="str">
        <x:v>マスタ登録・編集</x:v>
      </x:c>
      <x:c r="G172" s="89" t="str">
        <x:v>画面表示</x:v>
      </x:c>
      <x:c r="H172" s="89" t="str">
        <x:v>GET</x:v>
      </x:c>
      <x:c r="I172" s="89" t="str">
        <x:v>/admin/masters/{masterType}/{id}</x:v>
      </x:c>
      <x:c r="J172" s="89" t="str">
        <x:v>AdminMasterController</x:v>
      </x:c>
      <x:c r="K172" s="89" t="str">
        <x:v>show_sc_ad_017</x:v>
      </x:c>
      <x:c r="L172" s="89" t="str">
        <x:v>admin/masters/detail</x:v>
      </x:c>
      <x:c r="M172" s="89" t="str">
        <x:v>必要</x:v>
      </x:c>
      <x:c r="N172" s="89" t="str">
        <x:v>ROLE_SITE_ADMIN</x:v>
      </x:c>
      <x:c r="O172" s="89" t="str">
        <x:v>同画面を表示</x:v>
      </x:c>
      <x:c r="P172" s="89" t="str">
        <x:v>権限エラーは /error/access、データなしは404画面</x:v>
      </x:c>
      <x:c r="Q172" s="89" t="str">
        <x:v>〇</x:v>
      </x:c>
      <x:c r="R172" s="89" t="str">
        <x:v>第1段階</x:v>
      </x:c>
      <x:c r="S172" s="90" t="str">
        <x:v>画面一覧のURL案を基に作成</x:v>
      </x:c>
    </x:row>
    <x:row r="173" ht="42" customHeight="1">
      <x:c r="A173" s="79" t="n">
        <x:v>170</x:v>
      </x:c>
      <x:c r="B173" s="80" t="str">
        <x:v>RT-0170</x:v>
      </x:c>
      <x:c r="C173" s="80" t="str">
        <x:v>SC-AD-017</x:v>
      </x:c>
      <x:c r="D173" s="80" t="str">
        <x:v>運営</x:v>
      </x:c>
      <x:c r="E173" s="80" t="str">
        <x:v>マスタ</x:v>
      </x:c>
      <x:c r="F173" s="80" t="str">
        <x:v>マスタ登録・編集</x:v>
      </x:c>
      <x:c r="G173" s="80" t="str">
        <x:v>登録・更新</x:v>
      </x:c>
      <x:c r="H173" s="80" t="str">
        <x:v>POST</x:v>
      </x:c>
      <x:c r="I173" s="80" t="str">
        <x:v>/admin/masters/{masterType}/{id}</x:v>
      </x:c>
      <x:c r="J173" s="80" t="str">
        <x:v>AdminMasterController</x:v>
      </x:c>
      <x:c r="K173" s="80" t="str">
        <x:v>save_sc_ad_017</x:v>
      </x:c>
      <x:c r="L173" s="80" t="str">
        <x:v>redirect またはファイルレスポンス</x:v>
      </x:c>
      <x:c r="M173" s="80" t="str">
        <x:v>必要</x:v>
      </x:c>
      <x:c r="N173" s="80" t="str">
        <x:v>ROLE_SITE_ADMIN</x:v>
      </x:c>
      <x:c r="O173" s="80" t="str">
        <x:v>マスタ一覧へ</x:v>
      </x:c>
      <x:c r="P173" s="80" t="str">
        <x:v>入力エラーは元画面へ戻す。業務エラーはメッセージ表示</x:v>
      </x:c>
      <x:c r="Q173" s="80" t="str">
        <x:v>〇</x:v>
      </x:c>
      <x:c r="R173" s="80" t="str">
        <x:v>第1段階</x:v>
      </x:c>
      <x:c r="S173" s="81" t="str">
        <x:v>POSTはCSRF有効。更新処理はService層で権限・所有者を再確認</x:v>
      </x:c>
    </x:row>
    <x:row r="174" ht="42" customHeight="1">
      <x:c r="A174" s="88" t="n">
        <x:v>171</x:v>
      </x:c>
      <x:c r="B174" s="89" t="str">
        <x:v>RT-0171</x:v>
      </x:c>
      <x:c r="C174" s="89" t="str">
        <x:v>SC-AD-018</x:v>
      </x:c>
      <x:c r="D174" s="89" t="str">
        <x:v>運営</x:v>
      </x:c>
      <x:c r="E174" s="89" t="str">
        <x:v>サポート</x:v>
      </x:c>
      <x:c r="F174" s="89" t="str">
        <x:v>問い合わせ一覧</x:v>
      </x:c>
      <x:c r="G174" s="89" t="str">
        <x:v>画面表示</x:v>
      </x:c>
      <x:c r="H174" s="89" t="str">
        <x:v>GET</x:v>
      </x:c>
      <x:c r="I174" s="89" t="str">
        <x:v>/admin/inquiries</x:v>
      </x:c>
      <x:c r="J174" s="89" t="str">
        <x:v>AdminInquiryController</x:v>
      </x:c>
      <x:c r="K174" s="89" t="str">
        <x:v>show_sc_ad_018</x:v>
      </x:c>
      <x:c r="L174" s="89" t="str">
        <x:v>admin/inquiries</x:v>
      </x:c>
      <x:c r="M174" s="89" t="str">
        <x:v>必要</x:v>
      </x:c>
      <x:c r="N174" s="89" t="str">
        <x:v>ROLE_SITE_ADMIN</x:v>
      </x:c>
      <x:c r="O174" s="89" t="str">
        <x:v>同画面を表示</x:v>
      </x:c>
      <x:c r="P174" s="89" t="str">
        <x:v>権限エラーは /error/access、データなしは404画面</x:v>
      </x:c>
      <x:c r="Q174" s="89" t="str">
        <x:v>〇</x:v>
      </x:c>
      <x:c r="R174" s="89" t="str">
        <x:v>第1段階</x:v>
      </x:c>
      <x:c r="S174" s="90" t="str">
        <x:v>画面一覧のURL案を基に作成</x:v>
      </x:c>
    </x:row>
    <x:row r="175" ht="42" customHeight="1">
      <x:c r="A175" s="79" t="n">
        <x:v>172</x:v>
      </x:c>
      <x:c r="B175" s="80" t="str">
        <x:v>RT-0172</x:v>
      </x:c>
      <x:c r="C175" s="80" t="str">
        <x:v>SC-AD-019</x:v>
      </x:c>
      <x:c r="D175" s="80" t="str">
        <x:v>運営</x:v>
      </x:c>
      <x:c r="E175" s="80" t="str">
        <x:v>サポート</x:v>
      </x:c>
      <x:c r="F175" s="80" t="str">
        <x:v>問い合わせ詳細</x:v>
      </x:c>
      <x:c r="G175" s="80" t="str">
        <x:v>画面表示</x:v>
      </x:c>
      <x:c r="H175" s="80" t="str">
        <x:v>GET</x:v>
      </x:c>
      <x:c r="I175" s="80" t="str">
        <x:v>/admin/inquiries/{inquiryId}</x:v>
      </x:c>
      <x:c r="J175" s="80" t="str">
        <x:v>AdminInquiryController</x:v>
      </x:c>
      <x:c r="K175" s="80" t="str">
        <x:v>show_sc_ad_019</x:v>
      </x:c>
      <x:c r="L175" s="80" t="str">
        <x:v>admin/inquiries/detail</x:v>
      </x:c>
      <x:c r="M175" s="80" t="str">
        <x:v>必要</x:v>
      </x:c>
      <x:c r="N175" s="80" t="str">
        <x:v>ROLE_SITE_ADMIN</x:v>
      </x:c>
      <x:c r="O175" s="80" t="str">
        <x:v>同画面を表示</x:v>
      </x:c>
      <x:c r="P175" s="80" t="str">
        <x:v>権限エラーは /error/access、データなしは404画面</x:v>
      </x:c>
      <x:c r="Q175" s="80" t="str">
        <x:v>〇</x:v>
      </x:c>
      <x:c r="R175" s="80" t="str">
        <x:v>第1段階</x:v>
      </x:c>
      <x:c r="S175" s="81" t="str">
        <x:v>画面一覧のURL案を基に作成</x:v>
      </x:c>
    </x:row>
    <x:row r="176" ht="42" customHeight="1">
      <x:c r="A176" s="88" t="n">
        <x:v>173</x:v>
      </x:c>
      <x:c r="B176" s="89" t="str">
        <x:v>RT-0173</x:v>
      </x:c>
      <x:c r="C176" s="89" t="str">
        <x:v>SC-AD-019</x:v>
      </x:c>
      <x:c r="D176" s="89" t="str">
        <x:v>運営</x:v>
      </x:c>
      <x:c r="E176" s="89" t="str">
        <x:v>サポート</x:v>
      </x:c>
      <x:c r="F176" s="89" t="str">
        <x:v>問い合わせ詳細</x:v>
      </x:c>
      <x:c r="G176" s="89" t="str">
        <x:v>返信</x:v>
      </x:c>
      <x:c r="H176" s="89" t="str">
        <x:v>POST</x:v>
      </x:c>
      <x:c r="I176" s="89" t="str">
        <x:v>/admin/inquiries/{inquiryId}/reply</x:v>
      </x:c>
      <x:c r="J176" s="89" t="str">
        <x:v>AdminInquiryController</x:v>
      </x:c>
      <x:c r="K176" s="89" t="str">
        <x:v>reply_sc_ad_019</x:v>
      </x:c>
      <x:c r="L176" s="89" t="str">
        <x:v>redirect またはファイルレスポンス</x:v>
      </x:c>
      <x:c r="M176" s="89" t="str">
        <x:v>必要</x:v>
      </x:c>
      <x:c r="N176" s="89" t="str">
        <x:v>ROLE_SITE_ADMIN</x:v>
      </x:c>
      <x:c r="O176" s="89" t="str">
        <x:v>問い合わせ詳細へ</x:v>
      </x:c>
      <x:c r="P176" s="89" t="str">
        <x:v>入力エラーは元画面へ戻す。業務エラーはメッセージ表示</x:v>
      </x:c>
      <x:c r="Q176" s="89" t="str">
        <x:v>〇</x:v>
      </x:c>
      <x:c r="R176" s="89" t="str">
        <x:v>第1段階</x:v>
      </x:c>
      <x:c r="S176" s="90" t="str">
        <x:v>POSTはCSRF有効。更新処理はService層で権限・所有者を再確認</x:v>
      </x:c>
    </x:row>
    <x:row r="177" ht="42" customHeight="1">
      <x:c r="A177" s="79" t="n">
        <x:v>174</x:v>
      </x:c>
      <x:c r="B177" s="80" t="str">
        <x:v>RT-0174</x:v>
      </x:c>
      <x:c r="C177" s="80" t="str">
        <x:v>SC-AD-020</x:v>
      </x:c>
      <x:c r="D177" s="80" t="str">
        <x:v>運営</x:v>
      </x:c>
      <x:c r="E177" s="80" t="str">
        <x:v>分析</x:v>
      </x:c>
      <x:c r="F177" s="80" t="str">
        <x:v>利用状況分析</x:v>
      </x:c>
      <x:c r="G177" s="80" t="str">
        <x:v>画面表示</x:v>
      </x:c>
      <x:c r="H177" s="80" t="str">
        <x:v>GET</x:v>
      </x:c>
      <x:c r="I177" s="80" t="str">
        <x:v>/admin/analytics</x:v>
      </x:c>
      <x:c r="J177" s="80" t="str">
        <x:v>AdminAnalyticsController</x:v>
      </x:c>
      <x:c r="K177" s="80" t="str">
        <x:v>show_sc_ad_020</x:v>
      </x:c>
      <x:c r="L177" s="80" t="str">
        <x:v>admin/analytics</x:v>
      </x:c>
      <x:c r="M177" s="80" t="str">
        <x:v>必要</x:v>
      </x:c>
      <x:c r="N177" s="80" t="str">
        <x:v>ROLE_SITE_ADMIN</x:v>
      </x:c>
      <x:c r="O177" s="80" t="str">
        <x:v>同画面を表示</x:v>
      </x:c>
      <x:c r="P177" s="80" t="str">
        <x:v>権限エラーは /error/access、データなしは404画面</x:v>
      </x:c>
      <x:c r="Q177" s="80" t="str">
        <x:v>△</x:v>
      </x:c>
      <x:c r="R177" s="80" t="str">
        <x:v>第2段階</x:v>
      </x:c>
      <x:c r="S177" s="81" t="str">
        <x:v>画面一覧のURL案を基に作成</x:v>
      </x:c>
    </x:row>
    <x:row r="178" ht="42" customHeight="1">
      <x:c r="A178" s="91" t="n">
        <x:v>175</x:v>
      </x:c>
      <x:c r="B178" s="92" t="str">
        <x:v>RT-0175</x:v>
      </x:c>
      <x:c r="C178" s="92" t="str">
        <x:v>SC-AD-021</x:v>
      </x:c>
      <x:c r="D178" s="92" t="str">
        <x:v>運営</x:v>
      </x:c>
      <x:c r="E178" s="92" t="str">
        <x:v>セキュリティ</x:v>
      </x:c>
      <x:c r="F178" s="92" t="str">
        <x:v>監査ログ</x:v>
      </x:c>
      <x:c r="G178" s="92" t="str">
        <x:v>画面表示</x:v>
      </x:c>
      <x:c r="H178" s="92" t="str">
        <x:v>GET</x:v>
      </x:c>
      <x:c r="I178" s="92" t="str">
        <x:v>/admin/audit-logs</x:v>
      </x:c>
      <x:c r="J178" s="92" t="str">
        <x:v>AdminAuditLogController</x:v>
      </x:c>
      <x:c r="K178" s="92" t="str">
        <x:v>show_sc_ad_021</x:v>
      </x:c>
      <x:c r="L178" s="92" t="str">
        <x:v>admin/audit-logs</x:v>
      </x:c>
      <x:c r="M178" s="92" t="str">
        <x:v>必要</x:v>
      </x:c>
      <x:c r="N178" s="92" t="str">
        <x:v>ROLE_SITE_ADMIN</x:v>
      </x:c>
      <x:c r="O178" s="92" t="str">
        <x:v>同画面を表示</x:v>
      </x:c>
      <x:c r="P178" s="92" t="str">
        <x:v>権限エラーは /error/access、データなしは404画面</x:v>
      </x:c>
      <x:c r="Q178" s="92" t="str">
        <x:v>△</x:v>
      </x:c>
      <x:c r="R178" s="92" t="str">
        <x:v>第2段階</x:v>
      </x:c>
      <x:c r="S178" s="93" t="str">
        <x:v>画面一覧のURL案を基に作成</x:v>
      </x:c>
    </x:row>
  </x:sheetData>
  <x:mergeCells>
    <x:mergeCell ref="A1:S1"/>
    <x:mergeCell ref="A2:S2"/>
  </x:mergeCells>
  <x:conditionalFormatting sqref="H4:H178">
    <x:cfRule type="expression" dxfId="5" priority="1">
      <x:formula>H4="GET"</x:formula>
    </x:cfRule>
    <x:cfRule type="expression" dxfId="6" priority="2">
      <x:formula>H4="POST"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6811725801544b9"/>
  </x:tableParts>
</x:worksheet>
</file>